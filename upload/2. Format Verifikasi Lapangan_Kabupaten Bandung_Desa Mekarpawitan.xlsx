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0 BSPS 2026\Format Verifikasi\New folder\"/>
    </mc:Choice>
  </mc:AlternateContent>
  <xr:revisionPtr revIDLastSave="0" documentId="13_ncr:1_{2AD9A447-0157-47E3-85DB-799E58F2F417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Lampiran I" sheetId="2" state="hidden" r:id="rId1"/>
    <sheet name="II-3" sheetId="9" state="hidden" r:id="rId2"/>
    <sheet name="Source" sheetId="10" r:id="rId3"/>
    <sheet name="II-4" sheetId="6" r:id="rId4"/>
    <sheet name="II-5a" sheetId="7" r:id="rId5"/>
    <sheet name="II-5b" sheetId="8" r:id="rId6"/>
  </sheets>
  <definedNames>
    <definedName name="_xlnm.Print_Area" localSheetId="1">'II-3'!$A$1:$J$81</definedName>
    <definedName name="_xlnm.Print_Area" localSheetId="3">'II-4'!$A$1:$V$69</definedName>
    <definedName name="_xlnm.Print_Area" localSheetId="4">'II-5a'!$A$1:$N$38</definedName>
    <definedName name="_xlnm.Print_Area" localSheetId="5">'II-5b'!$A$1:$Q$41</definedName>
    <definedName name="_xlnm.Print_Area" localSheetId="0">'Lampiran I'!$A$1:$F$11</definedName>
    <definedName name="Surat_I_9_Ref_NomorSuratLowongan" localSheetId="1">#REF!</definedName>
    <definedName name="Surat_I_9_Ref_TanggalSuratLowongan" localSheetId="1">#REF!</definedName>
    <definedName name="Surat_I_9_Tanggal" localSheetId="1">#REF!</definedName>
  </definedNames>
  <calcPr calcId="191029"/>
</workbook>
</file>

<file path=xl/calcChain.xml><?xml version="1.0" encoding="utf-8"?>
<calcChain xmlns="http://schemas.openxmlformats.org/spreadsheetml/2006/main">
  <c r="N11" i="8" l="1"/>
  <c r="N12" i="8"/>
  <c r="N13" i="8"/>
  <c r="N14" i="8"/>
  <c r="N15" i="8"/>
  <c r="N10" i="8"/>
  <c r="M11" i="8"/>
  <c r="M12" i="8"/>
  <c r="M13" i="8"/>
  <c r="M14" i="8"/>
  <c r="M10" i="8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10" i="7"/>
  <c r="C11" i="7"/>
  <c r="D11" i="7"/>
  <c r="E11" i="7"/>
  <c r="C12" i="7"/>
  <c r="D12" i="7"/>
  <c r="E12" i="7"/>
  <c r="C13" i="7"/>
  <c r="D13" i="7"/>
  <c r="E13" i="7"/>
  <c r="C14" i="7"/>
  <c r="D14" i="7"/>
  <c r="E14" i="7"/>
  <c r="C15" i="7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D10" i="7"/>
  <c r="E10" i="7"/>
  <c r="C10" i="7"/>
  <c r="O6" i="7"/>
  <c r="R6" i="8" s="1"/>
  <c r="L9" i="8"/>
  <c r="A7" i="10"/>
  <c r="L37" i="7"/>
  <c r="O40" i="8"/>
  <c r="O33" i="8"/>
  <c r="F9" i="8"/>
  <c r="L32" i="7"/>
  <c r="O58" i="6"/>
  <c r="G58" i="6"/>
  <c r="L17" i="8"/>
  <c r="L16" i="8"/>
  <c r="L15" i="8"/>
  <c r="L14" i="8"/>
  <c r="L13" i="8"/>
  <c r="L12" i="8"/>
  <c r="L11" i="8"/>
  <c r="L10" i="8"/>
  <c r="F17" i="8"/>
  <c r="F16" i="8"/>
  <c r="F15" i="8"/>
  <c r="F14" i="8"/>
  <c r="F13" i="8"/>
  <c r="F12" i="8"/>
  <c r="F11" i="8"/>
  <c r="F10" i="8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I21" i="7"/>
  <c r="H21" i="7"/>
  <c r="G21" i="7"/>
  <c r="I20" i="7"/>
  <c r="H20" i="7"/>
  <c r="G20" i="7"/>
  <c r="I19" i="7"/>
  <c r="H19" i="7"/>
  <c r="G19" i="7"/>
  <c r="I18" i="7"/>
  <c r="H18" i="7"/>
  <c r="G18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I8" i="7"/>
  <c r="G8" i="7"/>
  <c r="A7" i="6"/>
  <c r="A6" i="6"/>
  <c r="A5" i="6"/>
  <c r="O69" i="6" s="1"/>
  <c r="A5" i="10"/>
  <c r="T68" i="6"/>
  <c r="Q68" i="6"/>
  <c r="O68" i="6"/>
  <c r="G68" i="6"/>
  <c r="D7" i="6"/>
  <c r="D6" i="6"/>
  <c r="D5" i="6"/>
  <c r="A11" i="7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E53" i="9"/>
  <c r="O41" i="8" l="1"/>
  <c r="L38" i="7"/>
  <c r="O32" i="8"/>
  <c r="L31" i="7"/>
  <c r="O57" i="6"/>
  <c r="E35" i="9"/>
  <c r="E34" i="9" s="1"/>
</calcChain>
</file>

<file path=xl/sharedStrings.xml><?xml version="1.0" encoding="utf-8"?>
<sst xmlns="http://schemas.openxmlformats.org/spreadsheetml/2006/main" count="983" uniqueCount="404">
  <si>
    <t>NAMA</t>
  </si>
  <si>
    <t>JENIS KELAMIN (L/P)</t>
  </si>
  <si>
    <t>ALAMAT TEMPAT TINGGAL</t>
  </si>
  <si>
    <t>KECAMATAN</t>
  </si>
  <si>
    <t>*) LOLOS/ PENGGANTI</t>
  </si>
  <si>
    <t>Kegiatan Bantuan Stimulan Perumahan Swadaya Tahun 2021</t>
  </si>
  <si>
    <t>Provinsi Jawa Barat</t>
  </si>
  <si>
    <t>SEBELUM</t>
  </si>
  <si>
    <t>SESUDAH</t>
  </si>
  <si>
    <t>No</t>
  </si>
  <si>
    <t>Kabupaten/Kota</t>
  </si>
  <si>
    <t>CPB (Unit)</t>
  </si>
  <si>
    <t>Hasil Verifikasi</t>
  </si>
  <si>
    <t>Lolos (Unit)</t>
  </si>
  <si>
    <t>Tidak Lolos (Unit)</t>
  </si>
  <si>
    <t>CPB Pengganti (Unit)</t>
  </si>
  <si>
    <t>Kabupaten Tasikmalaya</t>
  </si>
  <si>
    <t>Hasil Verifikasi Calon Penerima Bantuan</t>
  </si>
  <si>
    <t>Lampiran I</t>
  </si>
  <si>
    <t>LOLOS</t>
  </si>
  <si>
    <t>MINUS DESA SINDANGSARI BELUM TEREKAP</t>
  </si>
  <si>
    <t>PROVINSI JAWA BARAT</t>
  </si>
  <si>
    <t>ALASAN TIDAK LOLOS **)</t>
  </si>
  <si>
    <t>KET.</t>
  </si>
  <si>
    <t>TIDAK LOLOS</t>
  </si>
  <si>
    <t>REKAPITULASI HASIL VERIFIKASI CALON PENERIMA BANTUAN KEGIATAN BSPS</t>
  </si>
  <si>
    <t>Kecamatan</t>
  </si>
  <si>
    <t>Provinsi</t>
  </si>
  <si>
    <t>NIK</t>
  </si>
  <si>
    <t>NO. KK</t>
  </si>
  <si>
    <t>HASIL VERIFIKASI</t>
  </si>
  <si>
    <t>A</t>
  </si>
  <si>
    <t>B</t>
  </si>
  <si>
    <t>C</t>
  </si>
  <si>
    <t>D</t>
  </si>
  <si>
    <t>E</t>
  </si>
  <si>
    <t>F</t>
  </si>
  <si>
    <t>Tenaga Fasilitator Lapangan</t>
  </si>
  <si>
    <t>Catatan:</t>
  </si>
  <si>
    <t>ALASAN TIDAK LOLOS *)</t>
  </si>
  <si>
    <t>Desa / Kelurahan</t>
  </si>
  <si>
    <t>:</t>
  </si>
  <si>
    <t>Kabupaten / Kota</t>
  </si>
  <si>
    <t>No.</t>
  </si>
  <si>
    <t>PEMENUHAN KRITERIA *)</t>
  </si>
  <si>
    <t>Keterangan:</t>
  </si>
  <si>
    <t>*)Pemenuhan Kriteria, diisi dengan √ = tersedia /memenuhi /layak, x = tidak tersedia/tidak memenuhi/tidak layak:</t>
  </si>
  <si>
    <t>A.</t>
  </si>
  <si>
    <t>Catatan diisi dengan penjelasan tindak lanjut secara administrasi, atau rekomendasi perbaikan rumah</t>
  </si>
  <si>
    <t>Diperiksa oleh,</t>
  </si>
  <si>
    <t>Diketahui oleh,</t>
  </si>
  <si>
    <t>TANGGAL</t>
  </si>
  <si>
    <t>TAHAP</t>
  </si>
  <si>
    <t>INSTRUKSI VERIFIKASI</t>
  </si>
  <si>
    <t>NO.</t>
  </si>
  <si>
    <t xml:space="preserve">DAFTAR CALON PENERIMA BANTUAN </t>
  </si>
  <si>
    <t>KETERANGAN</t>
  </si>
  <si>
    <t xml:space="preserve">DAFTAR CALON PENERIMA BANTUAN PENGGANTI KEGIATAN BANTUAN </t>
  </si>
  <si>
    <t>Format II-5</t>
  </si>
  <si>
    <t>Lembar Verifikasi Calon Penerima Bantuan</t>
  </si>
  <si>
    <t>Nama KK</t>
  </si>
  <si>
    <t>Penghasilan KK perbulan</t>
  </si>
  <si>
    <t>Nilai UMP / UMK (pilih yg tertinggi)</t>
  </si>
  <si>
    <t>Alamat KK</t>
  </si>
  <si>
    <t>Jenis banper sejenis yang pernah didapat</t>
  </si>
  <si>
    <t>…..........................................</t>
  </si>
  <si>
    <t>RT / RW</t>
  </si>
  <si>
    <t>Tahun mendapat banper (0 jika tidak pernah)</t>
  </si>
  <si>
    <t>Berapa tahun menghuni rumah</t>
  </si>
  <si>
    <t xml:space="preserve">Kecamatan </t>
  </si>
  <si>
    <t>Foto perspektif rumah</t>
  </si>
  <si>
    <t>Kode foto rumah / Nama file</t>
  </si>
  <si>
    <t xml:space="preserve">Provinsi </t>
  </si>
  <si>
    <t>ASPEK / KOMPONEN</t>
  </si>
  <si>
    <t>KONDISI RUMAH</t>
  </si>
  <si>
    <t>1. STRUKTUR</t>
  </si>
  <si>
    <t>Fondasi</t>
  </si>
  <si>
    <t>ada, kondisi baik, kokoh</t>
  </si>
  <si>
    <t>ada, sebagian rapuh, tidak kokoh</t>
  </si>
  <si>
    <t xml:space="preserve">tidak ada, seluruhnya rapuh </t>
  </si>
  <si>
    <t>Sloof</t>
  </si>
  <si>
    <t xml:space="preserve">Kolom </t>
  </si>
  <si>
    <t>Ring Balok</t>
  </si>
  <si>
    <t>Rangka Atap</t>
  </si>
  <si>
    <t>2. NON-STRUKTUR</t>
  </si>
  <si>
    <t>Dinding</t>
  </si>
  <si>
    <t xml:space="preserve">Tembok/setengah tembok diplester, papan kayu berkualitas, bahan dinding dengan kondisi kokoh dan kedap air </t>
  </si>
  <si>
    <t>tembok kondisi sebagian besar retak, papan atau bahan lain yang kurang kokoh dan tidak kedap air</t>
  </si>
  <si>
    <t>anyaman bambu tipis, triplek, papan, tembok, atau bahan lain yang rapuh dan tidak kedap air</t>
  </si>
  <si>
    <t>Lantai</t>
  </si>
  <si>
    <t>Plester/ubin/keramik/ papan/bahan lain kondisi baik, kedap air</t>
  </si>
  <si>
    <t xml:space="preserve">papan atau bahan lain dengan kondisi rusak, plester sebagian besar pecah </t>
  </si>
  <si>
    <t>tanah, papan atau bahan lain yang rapuh dan tidak kedap air</t>
  </si>
  <si>
    <t>Penutup Atap</t>
  </si>
  <si>
    <t>genteng/seng/spandek, bahan tradisional (ijuk/rumbia)/bahan lain kondisi baik, tidak bocor</t>
  </si>
  <si>
    <t>genteng/seng/spandek, bahan tradisional (ijuk/rumbia)/bahan lain, kondisi rusak sebagian, bocor jika terjadi hujan lebat</t>
  </si>
  <si>
    <t>3. KESEHATAN &amp; KECUKUPAN LUAS</t>
  </si>
  <si>
    <t>Akses Air Minum</t>
  </si>
  <si>
    <t>Ada</t>
  </si>
  <si>
    <t>Tidak ada</t>
  </si>
  <si>
    <t>Akses Sanitasi</t>
  </si>
  <si>
    <t>Pencahayaan</t>
  </si>
  <si>
    <t xml:space="preserve">Terang, dapat digunakan membaca dengan normal tanpa pencahayaan buatan pada siang hari </t>
  </si>
  <si>
    <t>gelap, tidak dapat digunakan untuk membaca tanpa pencahayaan buatan pada siang hari</t>
  </si>
  <si>
    <t>Penghawaan</t>
  </si>
  <si>
    <t>cukup ventilasi, sirkulasi udara baik</t>
  </si>
  <si>
    <t>ventilasi kurang, agak pengap</t>
  </si>
  <si>
    <t>tidak ada ventilasi, pengap, lembab</t>
  </si>
  <si>
    <t>Kecukupan luas ruang</t>
  </si>
  <si>
    <t>luas rumah dibagi jumlah penghuni, lebih atau sama dengan 7,2 m²</t>
  </si>
  <si>
    <t>luas rumah dibagi jumlah penghuni, kurang dari 7,2 m²</t>
  </si>
  <si>
    <t>4. STATUS LAHAN</t>
  </si>
  <si>
    <t>Status penguasaan lahan</t>
  </si>
  <si>
    <t>milik sendiri, ada bukti sah</t>
  </si>
  <si>
    <t>sewa/pinjam pakai/izin tinggal/ menumpang, ada bukti sah</t>
  </si>
  <si>
    <t>tanpa bukti sah/ilegal</t>
  </si>
  <si>
    <t>Kesimpulan Kelayakan Rumah</t>
  </si>
  <si>
    <t>Rekomendasi Penanganan</t>
  </si>
  <si>
    <t>Nama &amp; TTD Surveyor</t>
  </si>
  <si>
    <t>Catatan/Isu lainnya</t>
  </si>
  <si>
    <t>KK menumpang rumah / rumah tidak ditemukan</t>
  </si>
  <si>
    <t>Direkomendasikan BSPS saja</t>
  </si>
  <si>
    <t>Rumah layak huni (RLH)</t>
  </si>
  <si>
    <t>Direkomendasikan BSPS dengan dukungan Cipta Karya</t>
  </si>
  <si>
    <t>Rumah tidak layak huni (RTLH)</t>
  </si>
  <si>
    <t>Perlu dukungan Cipta Karya saja tanpa BSPS</t>
  </si>
  <si>
    <t>Tidak dapat dibantu (tulis alasan di kolom catatan)</t>
  </si>
  <si>
    <t>Dikategorikan rumah tidak layak huni jika menemui minimal satu dari kondisi berikut:</t>
  </si>
  <si>
    <t>Direkomendasikan BSPS jika:
1.	syarat RTLH terpenuhi
2.	penghasilan perbulan tidak lebih dari Upah Minimum Provinsi/Kab/Kota (UMP atau UMK)
3.	tidak pernah mendapat bantuan perumahan sejenis dalam kurun waktu 10 tahun terakhir
4.	menghuni/menguasai rumah tidak layak huni selama minimal 3 tahun
5.	Status lahan ada bukti sah kepemilikan, penguasaan, atau izin tinggal</t>
  </si>
  <si>
    <t>Salah satu komponen struktur bernilai C;</t>
  </si>
  <si>
    <t>Dua atau lebih komponen struktur dan non-struktur (lantai, dinding, atap) bernilai B;</t>
  </si>
  <si>
    <t>Salah satu komponen non struktur (lantai, dinding, atap) bernilai C;</t>
  </si>
  <si>
    <t>Direkomendasikan BSPS dengan dukungan Cipta Karya jika syarat BSPS terpenuhi dan kondisi sanitasi atau akses air minum bernilai C.</t>
  </si>
  <si>
    <t>Komponen kesehatan dan kecukupan luas salah satunya bernilai C.</t>
  </si>
  <si>
    <t>Jika kerusakan rumah hanya pada komponen sanitasi dan/atau air minum, maka perlu dukungan Cipta Karya saja tanpa BSPS.</t>
  </si>
  <si>
    <t>Selain kondisi di atas, atau jika penilaian seluruhnya bernilai A, maka dikategorikan rumah layak huni</t>
  </si>
  <si>
    <t>Kondisi tidak dapat dibantu:
1.	Pernah mendapat bantuan sejenis dalam 10 tahun terakhir, penghasilan di atas UMP/UMK, menghuni kurang dari 3 tahun, atau lahan tanpa bukti sah/ilegal;
2.	Kerusakan hanya pada aspek pencahayaan atau penghawaan; atau
3.	Kerusakan hanya pada kurangnya kecukupan luas ruang.</t>
  </si>
  <si>
    <t>Dilakukan oleh,</t>
  </si>
  <si>
    <t>Koordinator Kabupaten/Kota</t>
  </si>
  <si>
    <t>Calon Penerima Bantuan</t>
  </si>
  <si>
    <t>Keterangan :</t>
  </si>
  <si>
    <t>Isilah dengan tanda √</t>
  </si>
  <si>
    <t>TFL perlu melampirkan foto pada tanda ( Foto ) dan di ceklis bila dilampirkan</t>
  </si>
  <si>
    <t>Informasi dapat ditambahkan berdasarkan kebutuhan</t>
  </si>
  <si>
    <t>Kriteria kelayakan:</t>
  </si>
  <si>
    <t>−</t>
  </si>
  <si>
    <t>Apabila 3 komponen struktur minimal rusak sebagian/total, maka rumah dikategorikan sebagai rumah tidak layak huni dan dapat diusulkan</t>
  </si>
  <si>
    <t>Apabila 2 komponen struktur minimal rusak sebagian/total dan 3 komponen non struktur minimal rusak sebagian/total atau tidak mencukupi, maka rumah dikategorikan sebagai rumah tidak layak huni dan dapat diusulkan</t>
  </si>
  <si>
    <t>Apabila semua komponen bangunan rusak total dan/atau membahayakan, maka rumah dikategorikan sebagai rumah rusak total</t>
  </si>
  <si>
    <t>Isian format ini sebagai format penilaian kualitas rumah dan identifikasi kebutuhan perbaikan rumah.</t>
  </si>
  <si>
    <t>Lembar verifikasi CPB dapat diprint secara online melalui aplikasi mobile e-BSPS.</t>
  </si>
  <si>
    <t>Tingkat kerusakan:</t>
  </si>
  <si>
    <t>Tingkat kerusakan ringan hingga 30% dari volume total</t>
  </si>
  <si>
    <t>Tingkat kerusakan sedang hingga 45% dari volume total</t>
  </si>
  <si>
    <t>Tingkat	kerusakan berat hingga 65% dari volume total</t>
  </si>
  <si>
    <t>KESWADAYAAN</t>
  </si>
  <si>
    <t>UANG
(RP)</t>
  </si>
  <si>
    <t>PENANGANAN</t>
  </si>
  <si>
    <t>(FEROSEMEN/ KONVENSIONAL/ KAYU</t>
  </si>
  <si>
    <t>MATERIAL
*)</t>
  </si>
  <si>
    <t>**) Alasan Tidak Lolos, diisi dengan Angka (1-9) sebagai berikut:</t>
  </si>
  <si>
    <t>No.
BNBA</t>
  </si>
  <si>
    <t>A. WNI berkeluarga;</t>
  </si>
  <si>
    <t>B. Memiliki/menguasai tanah dengan alas hak yang sah;</t>
  </si>
  <si>
    <t>F. Bersedia mengikuti ketentuan program.</t>
  </si>
  <si>
    <t>*) Alasan Tidak Lolos, diisi dengan Angka (1-9) sebagai berikut:</t>
  </si>
  <si>
    <t>NAMA IBU KANDUNG</t>
  </si>
  <si>
    <t>Diperiksa Oleh,</t>
  </si>
  <si>
    <t>Diketahui Oleh,</t>
  </si>
  <si>
    <t xml:space="preserve">Dibuat Oleh, </t>
  </si>
  <si>
    <t xml:space="preserve">Tenaga Fasilitator Lapangan </t>
  </si>
  <si>
    <t xml:space="preserve">Titik Koordinat </t>
  </si>
  <si>
    <t>Titik Koordinat</t>
  </si>
  <si>
    <t>S</t>
  </si>
  <si>
    <t>3.  Rumah dalam kondisi layak/rusak ringan;</t>
  </si>
  <si>
    <t>9.  Lainnya (diisi pada kolom keterangan).</t>
  </si>
  <si>
    <t>PENGGANTI</t>
  </si>
  <si>
    <t>Format II-4</t>
  </si>
  <si>
    <t>Nama TFL Teknik</t>
  </si>
  <si>
    <t>Nama TFL Pemberdayaan</t>
  </si>
  <si>
    <t>Diketahui Oleh</t>
  </si>
  <si>
    <t>Kabupaten</t>
  </si>
  <si>
    <t>Kota</t>
  </si>
  <si>
    <t>Desa</t>
  </si>
  <si>
    <t>Kelurahan</t>
  </si>
  <si>
    <t>1.   Belum memiliki KK sendiri;</t>
  </si>
  <si>
    <t>2.  Tanah bersengketa/tanpa bukti sah kepemilikan/penguasaan lahan/ilegal;</t>
  </si>
  <si>
    <t>4.  Memiliki rumah lebih dari 1;</t>
  </si>
  <si>
    <t>5.  Pernah memperoleh BSPS dalam kurun waktu 10 tahun;</t>
  </si>
  <si>
    <t>6.  Penghasilan lebih dari ½  UMP/UMK  (BSPS  Sejahtera);  atau  Penghasilan  lebih dari UMP/UMK (BSPS);</t>
  </si>
  <si>
    <t>7.  Memilih untuk dibantu dengan sumber anggaran lain;</t>
  </si>
  <si>
    <t>8.  Menghuni kurang dari 3 tahun;</t>
  </si>
  <si>
    <t>Koordinator</t>
  </si>
  <si>
    <t>FEROSEMEN</t>
  </si>
  <si>
    <t>KONVENSIONAL</t>
  </si>
  <si>
    <t>KAYU</t>
  </si>
  <si>
    <r>
      <t>NIP Lurah *</t>
    </r>
    <r>
      <rPr>
        <b/>
        <i/>
        <sz val="11"/>
        <color theme="1"/>
        <rFont val="Calibri"/>
        <family val="2"/>
        <scheme val="minor"/>
      </rPr>
      <t>Jika Lurah</t>
    </r>
  </si>
  <si>
    <t>: Jawa Barat</t>
  </si>
  <si>
    <t>Disetujui Oleh,</t>
  </si>
  <si>
    <t>Catatan</t>
  </si>
  <si>
    <t>KOLOM IDENTITAS</t>
  </si>
  <si>
    <t>KOLOM ISIAN</t>
  </si>
  <si>
    <r>
      <t xml:space="preserve">1. Jika ada di </t>
    </r>
    <r>
      <rPr>
        <b/>
        <sz val="11"/>
        <color theme="1"/>
        <rFont val="Calibri"/>
        <family val="2"/>
        <scheme val="minor"/>
      </rPr>
      <t>Kabupaten</t>
    </r>
    <r>
      <rPr>
        <sz val="11"/>
        <color theme="1"/>
        <rFont val="Calibri"/>
        <family val="2"/>
        <scheme val="minor"/>
      </rPr>
      <t xml:space="preserve"> tertentu terdapat </t>
    </r>
    <r>
      <rPr>
        <b/>
        <sz val="11"/>
        <color theme="1"/>
        <rFont val="Calibri"/>
        <family val="2"/>
        <scheme val="minor"/>
      </rPr>
      <t>Kelurahan</t>
    </r>
    <r>
      <rPr>
        <sz val="11"/>
        <color theme="1"/>
        <rFont val="Calibri"/>
        <family val="2"/>
        <scheme val="minor"/>
      </rPr>
      <t xml:space="preserve"> maka isi pada </t>
    </r>
    <r>
      <rPr>
        <b/>
        <sz val="11"/>
        <color theme="1"/>
        <rFont val="Calibri"/>
        <family val="2"/>
        <scheme val="minor"/>
      </rPr>
      <t>KOLOM IDENTITAS</t>
    </r>
    <r>
      <rPr>
        <sz val="11"/>
        <color theme="1"/>
        <rFont val="Calibri"/>
        <family val="2"/>
        <scheme val="minor"/>
      </rPr>
      <t xml:space="preserve"> disesuaikan (Contoh: Kelurahan / Desa</t>
    </r>
  </si>
  <si>
    <t>Ketua Tim Verifikasi dan Pengawasan</t>
  </si>
  <si>
    <t>STIMULAN PERUMAHAN SWADAYA TAHUN 2025</t>
  </si>
  <si>
    <t>Firdha Ruqmana, S.T.</t>
  </si>
  <si>
    <t>Nip. 19960430 2019032008</t>
  </si>
  <si>
    <t>TEMPAT &amp; TANGGAL LAHIR CPB</t>
  </si>
  <si>
    <t>Diisi juga kolom ini</t>
  </si>
  <si>
    <t>KODE KEL</t>
  </si>
  <si>
    <r>
      <t>STATUS PERNIKAHAN *</t>
    </r>
    <r>
      <rPr>
        <i/>
        <sz val="12"/>
        <color theme="1"/>
        <rFont val="Calibri"/>
        <family val="2"/>
        <scheme val="minor"/>
      </rPr>
      <t>Sesuai dengan KTP</t>
    </r>
  </si>
  <si>
    <r>
      <t xml:space="preserve">STATUS PERKAWINAN </t>
    </r>
    <r>
      <rPr>
        <i/>
        <sz val="12"/>
        <color theme="1"/>
        <rFont val="Calibri"/>
        <family val="2"/>
        <scheme val="minor"/>
      </rPr>
      <t>*Sesuai KTP</t>
    </r>
  </si>
  <si>
    <t>REKAPITULASI HASIL VERIFIKASI CALON PENERIMA BANTUAN</t>
  </si>
  <si>
    <t>Cahya Purnama, S.Pd</t>
  </si>
  <si>
    <t>C.  BSPS: Memiliki dan menempati satu-satunya rumah dengan kondisi tidak layak huni;</t>
  </si>
  <si>
    <t>D. Belum pernah memperoleh program bantuan pembangunan rumah swadaya dan program kemudahan dan bantuan pembiayaan perumahan bagi MBR dalam 10 tahun terakhir;</t>
  </si>
  <si>
    <t>E. Berpenghasilan paling banyak sebesar upah minimum daerah provinsi/ kabupaten/kota;</t>
  </si>
  <si>
    <t>5.  Pernah memperoleh program bantuan rumah swadaya dan program kemudahan dan bantuan pembiayaan perumahan bagi MBR dalam 10 tahun terakhir;</t>
  </si>
  <si>
    <t>6.  Penghasilan perbulan tidak lebih dari UMP atau UMK;</t>
  </si>
  <si>
    <t>BANDUNG</t>
  </si>
  <si>
    <t>PASEH</t>
  </si>
  <si>
    <t>MEKARPAWITAN</t>
  </si>
  <si>
    <t>Tonton</t>
  </si>
  <si>
    <t>Topik, S.T</t>
  </si>
  <si>
    <t>Yuda Adi Nugraha, S.E</t>
  </si>
  <si>
    <t>ODANG</t>
  </si>
  <si>
    <t>L</t>
  </si>
  <si>
    <t>3204350707650002</t>
  </si>
  <si>
    <t>3204350905060028</t>
  </si>
  <si>
    <t>KP. JATI RT 03 RW 03</t>
  </si>
  <si>
    <t>√</t>
  </si>
  <si>
    <t>BANDUNG, 07-07-1965</t>
  </si>
  <si>
    <t>EEM</t>
  </si>
  <si>
    <t>KAWIN</t>
  </si>
  <si>
    <t>UTAR</t>
  </si>
  <si>
    <t>3204352101630005</t>
  </si>
  <si>
    <t>3204351303130035</t>
  </si>
  <si>
    <t>KP. PUNDEUY RT 01 RW 11</t>
  </si>
  <si>
    <t>BANDUNG, 21-01-1963</t>
  </si>
  <si>
    <t>EMPAT</t>
  </si>
  <si>
    <t>NENENG WIDIA NINGSIH</t>
  </si>
  <si>
    <t>P</t>
  </si>
  <si>
    <t>3204355408590001</t>
  </si>
  <si>
    <t>3204352308190009</t>
  </si>
  <si>
    <t>KP. BARU RT 03 RW 05</t>
  </si>
  <si>
    <t>BANDUNG, 14-08-1959</t>
  </si>
  <si>
    <t>ELI</t>
  </si>
  <si>
    <t>MAMAN IMRON</t>
  </si>
  <si>
    <t>3204351306510001</t>
  </si>
  <si>
    <t>3204350407080109</t>
  </si>
  <si>
    <t>BOJONG BECIK RT 03 RW 07</t>
  </si>
  <si>
    <t>BANDUNG,13-06-1951</t>
  </si>
  <si>
    <t>AMEH</t>
  </si>
  <si>
    <t>KOMARUDIN</t>
  </si>
  <si>
    <t>3204352012830002</t>
  </si>
  <si>
    <t>3204351906130004</t>
  </si>
  <si>
    <t>BANDUNG, 20-12-1983</t>
  </si>
  <si>
    <t>EMING</t>
  </si>
  <si>
    <t>ISAK</t>
  </si>
  <si>
    <t>3204350406800014</t>
  </si>
  <si>
    <t>3204350605140025</t>
  </si>
  <si>
    <t>KP. JATI RT 03 RW 12</t>
  </si>
  <si>
    <t>BANDUNG, 04-06-1980</t>
  </si>
  <si>
    <t>EKAR</t>
  </si>
  <si>
    <t>INA</t>
  </si>
  <si>
    <t>3204354810840004</t>
  </si>
  <si>
    <t>3204350208180009</t>
  </si>
  <si>
    <t>KP. BOJONG BECIK RT 01 RW 07</t>
  </si>
  <si>
    <t>BANDUNG, 08-10-1984</t>
  </si>
  <si>
    <t>JUA</t>
  </si>
  <si>
    <t>EUIS KOMARIAH</t>
  </si>
  <si>
    <t>3204356712640001</t>
  </si>
  <si>
    <t>3204352706080082</t>
  </si>
  <si>
    <t>KP. CIPEUNDEUY RT 02 RW 13</t>
  </si>
  <si>
    <t>BANDUNG, 27-12-1964</t>
  </si>
  <si>
    <t>ANAH</t>
  </si>
  <si>
    <t>HERI HERDIANSYAH</t>
  </si>
  <si>
    <t>3204152409820005</t>
  </si>
  <si>
    <t>3204352703150017</t>
  </si>
  <si>
    <t>KP. SUKASARI RT 03 RW 14</t>
  </si>
  <si>
    <t>BANDUNG, 24-09-1982</t>
  </si>
  <si>
    <t>ENUNG MARYATI</t>
  </si>
  <si>
    <t>DAYAT HIDAYAT</t>
  </si>
  <si>
    <t>3204350705820014</t>
  </si>
  <si>
    <t>3204351509080019</t>
  </si>
  <si>
    <t>BAMBU</t>
  </si>
  <si>
    <t>BANDUNG, 07-05-1982</t>
  </si>
  <si>
    <t>IDOH</t>
  </si>
  <si>
    <t>DEDE</t>
  </si>
  <si>
    <t>3204350703740003</t>
  </si>
  <si>
    <t>3204352003057917</t>
  </si>
  <si>
    <t>KP. BOJONG BECIK RT 03 RW 08</t>
  </si>
  <si>
    <t>BANDUNG, 07-03-1974</t>
  </si>
  <si>
    <t>NUNUNG J</t>
  </si>
  <si>
    <t>DEDE ATIKAH</t>
  </si>
  <si>
    <t>3204354203750012</t>
  </si>
  <si>
    <t>3204350307130035</t>
  </si>
  <si>
    <t>KP. RANCA RT 03 RW 11</t>
  </si>
  <si>
    <t>BANDUNG, 02-03-1975</t>
  </si>
  <si>
    <t>AAN ROHANAH</t>
  </si>
  <si>
    <t>ANITA PURNAMASARI</t>
  </si>
  <si>
    <t>3204356008940007</t>
  </si>
  <si>
    <t>3204352703130022</t>
  </si>
  <si>
    <t>KAMPUNG CIPEUNDEUY RT 04 RW 06</t>
  </si>
  <si>
    <t>BANUDUNG, 20-08-1994</t>
  </si>
  <si>
    <t>YANI SURYANI</t>
  </si>
  <si>
    <t>CUCU KARTIKA</t>
  </si>
  <si>
    <t>3204355209770004</t>
  </si>
  <si>
    <t>3204352003050922</t>
  </si>
  <si>
    <t>KP. CIPEUNDEUY RT 01 RW 06</t>
  </si>
  <si>
    <t>BANDUNG, 12-09-1977</t>
  </si>
  <si>
    <t>IPAH</t>
  </si>
  <si>
    <t>KOSWANDI</t>
  </si>
  <si>
    <t>3204352101810001</t>
  </si>
  <si>
    <t>3204351807120017</t>
  </si>
  <si>
    <t>BANDUNG, 21-01-1981</t>
  </si>
  <si>
    <t>ELAH</t>
  </si>
  <si>
    <t>AYI HARDIANSAH</t>
  </si>
  <si>
    <t>3204350707710003</t>
  </si>
  <si>
    <t>3204350710060019</t>
  </si>
  <si>
    <t>KP. JATI RT 01 RW 03</t>
  </si>
  <si>
    <t>BANDUNG, 07-07-1971</t>
  </si>
  <si>
    <t>ONAH</t>
  </si>
  <si>
    <t>DEWI</t>
  </si>
  <si>
    <t>3204355212730003</t>
  </si>
  <si>
    <t>3204350203070019</t>
  </si>
  <si>
    <t>KP. JATI RT 03 RW 04</t>
  </si>
  <si>
    <t>BANDUNG, 12-12-1973</t>
  </si>
  <si>
    <t>AYI ROKAYAH</t>
  </si>
  <si>
    <t>ENTAR</t>
  </si>
  <si>
    <t>3204354204480006</t>
  </si>
  <si>
    <t>3204351704170023</t>
  </si>
  <si>
    <t>BOJONG BECIK RT 01 RW 07</t>
  </si>
  <si>
    <t>BANDUNG, 02-04-1948</t>
  </si>
  <si>
    <t>ACIH</t>
  </si>
  <si>
    <t>ENENG ANI</t>
  </si>
  <si>
    <t>3204355107900005</t>
  </si>
  <si>
    <t>3204351007120007</t>
  </si>
  <si>
    <t>KP. BOJONG BECIK RT 02 RW 08</t>
  </si>
  <si>
    <t>BANDUNG, 11-07-1990</t>
  </si>
  <si>
    <t>IDA</t>
  </si>
  <si>
    <t>ADANG</t>
  </si>
  <si>
    <t>3204350511720006</t>
  </si>
  <si>
    <t>WAWAN SETAIAWAN</t>
  </si>
  <si>
    <t>3204351406850004</t>
  </si>
  <si>
    <t>Diganti Oleh Istri</t>
  </si>
  <si>
    <t>TANTAN WINATA</t>
  </si>
  <si>
    <t>3204340101900020</t>
  </si>
  <si>
    <t>3204351601150011</t>
  </si>
  <si>
    <t>KP. CIPEUNDEUY RT 02 RW 06</t>
  </si>
  <si>
    <t>APIN</t>
  </si>
  <si>
    <t>3204351805900005</t>
  </si>
  <si>
    <t>3204351308130019</t>
  </si>
  <si>
    <t>KP. CIPEUNDEUY RT 04 RW 06</t>
  </si>
  <si>
    <t>UJANG PARMAN</t>
  </si>
  <si>
    <t>3204350107670162</t>
  </si>
  <si>
    <t>3204351903056793</t>
  </si>
  <si>
    <t>AHID HIDAYAT</t>
  </si>
  <si>
    <t>3204351602700003</t>
  </si>
  <si>
    <t>HENDRI YUSWANTO</t>
  </si>
  <si>
    <t>3204350501840002</t>
  </si>
  <si>
    <t>3204352802120016</t>
  </si>
  <si>
    <t>KP. SUKASARI RT 03 RW 04</t>
  </si>
  <si>
    <t>3204354709600006</t>
  </si>
  <si>
    <t>3204350507080040</t>
  </si>
  <si>
    <t>x</t>
  </si>
  <si>
    <t>II</t>
  </si>
  <si>
    <t>-7.05269753</t>
  </si>
  <si>
    <t>107.78179548</t>
  </si>
  <si>
    <t>-7.04770269</t>
  </si>
  <si>
    <t>107.78043033</t>
  </si>
  <si>
    <t>-7.05381054</t>
  </si>
  <si>
    <t>107.78554406</t>
  </si>
  <si>
    <t>-7.04602555</t>
  </si>
  <si>
    <t>107.78519164</t>
  </si>
  <si>
    <t>-7.05181024</t>
  </si>
  <si>
    <t>107.78167152</t>
  </si>
  <si>
    <t>107.78331098</t>
  </si>
  <si>
    <t>-7.05210601</t>
  </si>
  <si>
    <t>-7.04828123</t>
  </si>
  <si>
    <t>107.78682554</t>
  </si>
  <si>
    <t>-7.05229207</t>
  </si>
  <si>
    <t>107.78951091</t>
  </si>
  <si>
    <t>-7.03636627</t>
  </si>
  <si>
    <t>107.78026375</t>
  </si>
  <si>
    <t>-7.05545834</t>
  </si>
  <si>
    <t>107.78798274</t>
  </si>
  <si>
    <t>-7.04647149</t>
  </si>
  <si>
    <t>107.78285953</t>
  </si>
  <si>
    <t>-7.4938953</t>
  </si>
  <si>
    <t>107.78198511</t>
  </si>
  <si>
    <t>-7.0543263</t>
  </si>
  <si>
    <t>107.7902855</t>
  </si>
  <si>
    <t>-7.05425763</t>
  </si>
  <si>
    <t>107.79013249</t>
  </si>
  <si>
    <t>-7.05163253</t>
  </si>
  <si>
    <t>-7.05465683</t>
  </si>
  <si>
    <t>107.78237154</t>
  </si>
  <si>
    <t>-7.04686315</t>
  </si>
  <si>
    <t>107.78587386</t>
  </si>
  <si>
    <t>-7.04591283</t>
  </si>
  <si>
    <t>107.78420574</t>
  </si>
  <si>
    <t>107.78087897</t>
  </si>
  <si>
    <t>KEGIATAN BANTUAN STIMULAN PERUMAHAN SWADAYA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</si>
</sst>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3" formatCode="_-* #,##0.00_-;\-* #,##0.00_-;_-* &quot;-&quot;??_-;_-@_-"/>
    <numFmt numFmtId="164" formatCode="General&quot;.&quot;"/>
    <numFmt numFmtId="165" formatCode="&quot;Rp&quot;#,##0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2"/>
      <name val="Bookman Old Style"/>
      <family val="1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0" fontId="6" fillId="0" borderId="0"/>
    <xf numFmtId="0" fontId="5" fillId="0" borderId="0"/>
    <xf numFmtId="0" fontId="5" fillId="0" borderId="0"/>
    <xf numFmtId="0" fontId="9" fillId="0" borderId="0"/>
    <xf numFmtId="0" fontId="1" fillId="0" borderId="0"/>
  </cellStyleXfs>
  <cellXfs count="27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8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13" fillId="0" borderId="0" xfId="0" applyFont="1"/>
    <xf numFmtId="0" fontId="11" fillId="0" borderId="0" xfId="0" applyFont="1"/>
    <xf numFmtId="42" fontId="11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0" fontId="11" fillId="4" borderId="13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0" fillId="2" borderId="0" xfId="0" applyFill="1"/>
    <xf numFmtId="0" fontId="11" fillId="7" borderId="13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vertical="center"/>
    </xf>
    <xf numFmtId="0" fontId="11" fillId="7" borderId="15" xfId="0" applyFont="1" applyFill="1" applyBorder="1" applyAlignment="1">
      <alignment vertical="center" wrapText="1"/>
    </xf>
    <xf numFmtId="0" fontId="11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64" fontId="11" fillId="0" borderId="0" xfId="0" applyNumberFormat="1" applyFont="1" applyAlignment="1">
      <alignment horizontal="right" vertical="top"/>
    </xf>
    <xf numFmtId="164" fontId="11" fillId="0" borderId="0" xfId="0" applyNumberFormat="1" applyFont="1"/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left" wrapText="1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1" xfId="0" applyFont="1" applyBorder="1"/>
    <xf numFmtId="0" fontId="5" fillId="0" borderId="0" xfId="5" applyFont="1"/>
    <xf numFmtId="0" fontId="5" fillId="0" borderId="0" xfId="5" applyFont="1" applyAlignment="1">
      <alignment wrapText="1"/>
    </xf>
    <xf numFmtId="0" fontId="14" fillId="0" borderId="0" xfId="5" applyFont="1" applyAlignment="1">
      <alignment horizontal="center" vertical="center"/>
    </xf>
    <xf numFmtId="0" fontId="14" fillId="0" borderId="0" xfId="5" applyFont="1" applyAlignment="1">
      <alignment horizontal="right" vertical="center"/>
    </xf>
    <xf numFmtId="0" fontId="5" fillId="0" borderId="0" xfId="5" applyFont="1" applyAlignment="1">
      <alignment horizontal="center" vertical="center"/>
    </xf>
    <xf numFmtId="0" fontId="5" fillId="0" borderId="0" xfId="5" applyFont="1" applyAlignment="1">
      <alignment vertical="center" wrapText="1"/>
    </xf>
    <xf numFmtId="0" fontId="15" fillId="0" borderId="0" xfId="5" applyFont="1" applyAlignment="1">
      <alignment vertical="center"/>
    </xf>
    <xf numFmtId="0" fontId="5" fillId="0" borderId="0" xfId="5" applyFont="1" applyAlignment="1">
      <alignment horizontal="center"/>
    </xf>
    <xf numFmtId="0" fontId="5" fillId="0" borderId="0" xfId="0" applyFont="1" applyAlignment="1">
      <alignment horizontal="left" vertical="center"/>
    </xf>
    <xf numFmtId="0" fontId="16" fillId="0" borderId="0" xfId="5" applyFont="1" applyAlignment="1">
      <alignment horizontal="center" vertical="center"/>
    </xf>
    <xf numFmtId="0" fontId="15" fillId="0" borderId="0" xfId="5" applyFont="1" applyAlignment="1">
      <alignment horizontal="justify" vertical="center"/>
    </xf>
    <xf numFmtId="0" fontId="5" fillId="0" borderId="0" xfId="0" applyFont="1" applyAlignment="1">
      <alignment horizontal="left" vertical="top" wrapText="1"/>
    </xf>
    <xf numFmtId="0" fontId="0" fillId="0" borderId="0" xfId="5" applyFont="1" applyAlignment="1">
      <alignment horizontal="center"/>
    </xf>
    <xf numFmtId="0" fontId="16" fillId="0" borderId="0" xfId="5" applyFont="1" applyAlignment="1">
      <alignment vertic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/>
    <xf numFmtId="0" fontId="18" fillId="0" borderId="0" xfId="5" applyFont="1" applyAlignment="1">
      <alignment horizontal="center" vertical="center" wrapText="1"/>
    </xf>
    <xf numFmtId="0" fontId="18" fillId="0" borderId="0" xfId="0" applyFont="1"/>
    <xf numFmtId="0" fontId="17" fillId="0" borderId="0" xfId="5" applyFont="1" applyAlignment="1">
      <alignment horizontal="center" vertical="center"/>
    </xf>
    <xf numFmtId="0" fontId="18" fillId="0" borderId="0" xfId="5" applyFont="1" applyAlignment="1">
      <alignment horizontal="center"/>
    </xf>
    <xf numFmtId="0" fontId="18" fillId="0" borderId="0" xfId="5" applyFont="1" applyAlignment="1">
      <alignment horizontal="center" vertical="center"/>
    </xf>
    <xf numFmtId="0" fontId="18" fillId="0" borderId="0" xfId="5" applyFont="1" applyAlignment="1">
      <alignment horizontal="center" wrapText="1"/>
    </xf>
    <xf numFmtId="0" fontId="18" fillId="0" borderId="0" xfId="0" applyFont="1" applyAlignment="1">
      <alignment vertical="center"/>
    </xf>
    <xf numFmtId="0" fontId="1" fillId="0" borderId="0" xfId="5"/>
    <xf numFmtId="0" fontId="1" fillId="0" borderId="0" xfId="5" applyAlignment="1">
      <alignment wrapText="1"/>
    </xf>
    <xf numFmtId="0" fontId="20" fillId="0" borderId="0" xfId="5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5" applyBorder="1" applyAlignment="1">
      <alignment horizontal="center" vertical="center"/>
    </xf>
    <xf numFmtId="0" fontId="1" fillId="0" borderId="1" xfId="5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/>
    </xf>
    <xf numFmtId="43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24" fillId="0" borderId="0" xfId="5" applyFont="1" applyAlignment="1">
      <alignment horizontal="center" vertical="center"/>
    </xf>
    <xf numFmtId="0" fontId="25" fillId="0" borderId="0" xfId="5" applyFont="1"/>
    <xf numFmtId="0" fontId="25" fillId="0" borderId="0" xfId="5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9" fillId="0" borderId="0" xfId="5" applyFont="1" applyAlignment="1">
      <alignment vertical="center"/>
    </xf>
    <xf numFmtId="0" fontId="2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" fillId="0" borderId="0" xfId="5" applyAlignment="1">
      <alignment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left" vertical="center"/>
    </xf>
    <xf numFmtId="165" fontId="1" fillId="12" borderId="4" xfId="0" applyNumberFormat="1" applyFont="1" applyFill="1" applyBorder="1" applyAlignment="1">
      <alignment horizontal="center" vertical="center"/>
    </xf>
    <xf numFmtId="3" fontId="1" fillId="0" borderId="4" xfId="0" quotePrefix="1" applyNumberFormat="1" applyFont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49" fontId="21" fillId="0" borderId="1" xfId="0" quotePrefix="1" applyNumberFormat="1" applyFont="1" applyBorder="1" applyAlignment="1">
      <alignment horizontal="center" vertical="center"/>
    </xf>
    <xf numFmtId="0" fontId="21" fillId="12" borderId="1" xfId="0" applyFont="1" applyFill="1" applyBorder="1" applyAlignment="1">
      <alignment vertical="center"/>
    </xf>
    <xf numFmtId="0" fontId="1" fillId="12" borderId="3" xfId="0" applyFont="1" applyFill="1" applyBorder="1" applyAlignment="1">
      <alignment vertical="center"/>
    </xf>
    <xf numFmtId="0" fontId="1" fillId="12" borderId="1" xfId="0" quotePrefix="1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1" fillId="12" borderId="1" xfId="0" quotePrefix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10" borderId="1" xfId="5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left" vertical="center" wrapText="1"/>
    </xf>
    <xf numFmtId="15" fontId="1" fillId="10" borderId="1" xfId="5" applyNumberFormat="1" applyFill="1" applyBorder="1" applyAlignment="1">
      <alignment horizontal="center" vertical="center" wrapText="1"/>
    </xf>
    <xf numFmtId="3" fontId="1" fillId="10" borderId="4" xfId="0" quotePrefix="1" applyNumberFormat="1" applyFont="1" applyFill="1" applyBorder="1" applyAlignment="1">
      <alignment horizontal="center" vertical="center"/>
    </xf>
    <xf numFmtId="0" fontId="1" fillId="10" borderId="4" xfId="0" quotePrefix="1" applyFont="1" applyFill="1" applyBorder="1" applyAlignment="1">
      <alignment horizontal="center" vertical="center"/>
    </xf>
    <xf numFmtId="0" fontId="1" fillId="13" borderId="1" xfId="5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left" vertical="center" wrapText="1"/>
    </xf>
    <xf numFmtId="15" fontId="1" fillId="13" borderId="1" xfId="5" applyNumberFormat="1" applyFill="1" applyBorder="1" applyAlignment="1">
      <alignment horizontal="center" vertical="center" wrapText="1"/>
    </xf>
    <xf numFmtId="0" fontId="1" fillId="13" borderId="4" xfId="0" quotePrefix="1" applyFont="1" applyFill="1" applyBorder="1" applyAlignment="1">
      <alignment horizontal="center" vertical="center"/>
    </xf>
    <xf numFmtId="0" fontId="1" fillId="14" borderId="1" xfId="5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1" fillId="14" borderId="1" xfId="5" applyFill="1" applyBorder="1" applyAlignment="1">
      <alignment horizontal="center" vertical="center" wrapText="1"/>
    </xf>
    <xf numFmtId="0" fontId="1" fillId="13" borderId="1" xfId="5" applyFill="1" applyBorder="1" applyAlignment="1">
      <alignment horizontal="center" vertical="center" wrapText="1"/>
    </xf>
    <xf numFmtId="0" fontId="1" fillId="13" borderId="3" xfId="5" applyFill="1" applyBorder="1" applyAlignment="1">
      <alignment horizontal="left" vertical="center" wrapText="1"/>
    </xf>
    <xf numFmtId="0" fontId="32" fillId="0" borderId="0" xfId="5" applyFont="1"/>
    <xf numFmtId="0" fontId="3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0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49" fontId="21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30" fillId="0" borderId="0" xfId="0" applyFont="1" applyAlignment="1">
      <alignment horizontal="left" vertical="top"/>
    </xf>
    <xf numFmtId="43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21" fillId="12" borderId="1" xfId="0" quotePrefix="1" applyFont="1" applyFill="1" applyBorder="1" applyAlignment="1">
      <alignment vertical="center"/>
    </xf>
    <xf numFmtId="0" fontId="5" fillId="13" borderId="0" xfId="5" applyFont="1" applyFill="1" applyAlignment="1">
      <alignment horizontal="center"/>
    </xf>
    <xf numFmtId="0" fontId="5" fillId="13" borderId="0" xfId="5" applyFont="1" applyFill="1"/>
    <xf numFmtId="0" fontId="1" fillId="14" borderId="1" xfId="0" applyFont="1" applyFill="1" applyBorder="1" applyAlignment="1">
      <alignment horizontal="left" vertical="center"/>
    </xf>
    <xf numFmtId="0" fontId="1" fillId="14" borderId="1" xfId="0" quotePrefix="1" applyFont="1" applyFill="1" applyBorder="1" applyAlignment="1">
      <alignment vertical="center"/>
    </xf>
    <xf numFmtId="0" fontId="1" fillId="14" borderId="4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vertical="center"/>
    </xf>
    <xf numFmtId="0" fontId="21" fillId="14" borderId="1" xfId="0" applyFont="1" applyFill="1" applyBorder="1" applyAlignment="1">
      <alignment vertical="center"/>
    </xf>
    <xf numFmtId="0" fontId="21" fillId="13" borderId="1" xfId="0" applyFont="1" applyFill="1" applyBorder="1" applyAlignment="1">
      <alignment vertical="center"/>
    </xf>
    <xf numFmtId="0" fontId="21" fillId="13" borderId="1" xfId="0" quotePrefix="1" applyFont="1" applyFill="1" applyBorder="1" applyAlignment="1">
      <alignment vertical="center"/>
    </xf>
    <xf numFmtId="0" fontId="1" fillId="13" borderId="3" xfId="0" applyFont="1" applyFill="1" applyBorder="1" applyAlignment="1">
      <alignment vertical="center"/>
    </xf>
    <xf numFmtId="0" fontId="1" fillId="13" borderId="1" xfId="0" quotePrefix="1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quotePrefix="1" applyFont="1" applyFill="1" applyBorder="1" applyAlignment="1">
      <alignment horizontal="left" vertical="center"/>
    </xf>
    <xf numFmtId="3" fontId="1" fillId="13" borderId="4" xfId="0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42" fontId="11" fillId="0" borderId="0" xfId="0" applyNumberFormat="1" applyFont="1" applyProtection="1">
      <protection locked="0"/>
    </xf>
    <xf numFmtId="0" fontId="12" fillId="2" borderId="0" xfId="0" applyFont="1" applyFill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/>
    </xf>
    <xf numFmtId="0" fontId="11" fillId="6" borderId="11" xfId="0" applyFont="1" applyFill="1" applyBorder="1" applyAlignment="1">
      <alignment horizontal="left"/>
    </xf>
    <xf numFmtId="0" fontId="11" fillId="8" borderId="13" xfId="0" applyFont="1" applyFill="1" applyBorder="1" applyAlignment="1">
      <alignment horizontal="left"/>
    </xf>
    <xf numFmtId="0" fontId="11" fillId="8" borderId="15" xfId="0" applyFont="1" applyFill="1" applyBorder="1" applyAlignment="1">
      <alignment horizontal="left"/>
    </xf>
    <xf numFmtId="0" fontId="11" fillId="9" borderId="14" xfId="0" applyFont="1" applyFill="1" applyBorder="1" applyAlignment="1">
      <alignment horizontal="left"/>
    </xf>
    <xf numFmtId="0" fontId="11" fillId="9" borderId="15" xfId="0" applyFont="1" applyFill="1" applyBorder="1" applyAlignment="1">
      <alignment horizontal="left"/>
    </xf>
    <xf numFmtId="0" fontId="11" fillId="6" borderId="0" xfId="0" applyFont="1" applyFill="1" applyAlignment="1">
      <alignment horizontal="left" vertical="center"/>
    </xf>
    <xf numFmtId="0" fontId="11" fillId="6" borderId="11" xfId="0" applyFont="1" applyFill="1" applyBorder="1" applyAlignment="1">
      <alignment horizontal="left" vertical="center"/>
    </xf>
    <xf numFmtId="0" fontId="11" fillId="8" borderId="14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0" fontId="11" fillId="9" borderId="14" xfId="0" applyFont="1" applyFill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14" xfId="0" applyFont="1" applyFill="1" applyBorder="1" applyAlignment="1">
      <alignment horizontal="left" wrapText="1"/>
    </xf>
    <xf numFmtId="0" fontId="11" fillId="9" borderId="15" xfId="0" applyFont="1" applyFill="1" applyBorder="1" applyAlignment="1">
      <alignment horizontal="left" wrapText="1"/>
    </xf>
    <xf numFmtId="0" fontId="11" fillId="6" borderId="0" xfId="0" applyFont="1" applyFill="1" applyAlignment="1">
      <alignment horizontal="left" vertical="center" wrapText="1"/>
    </xf>
    <xf numFmtId="0" fontId="11" fillId="6" borderId="11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 indent="1"/>
    </xf>
    <xf numFmtId="0" fontId="11" fillId="0" borderId="20" xfId="0" applyFont="1" applyBorder="1" applyAlignment="1">
      <alignment horizontal="left" vertical="top" wrapText="1" indent="1"/>
    </xf>
    <xf numFmtId="0" fontId="11" fillId="0" borderId="0" xfId="0" applyFont="1" applyAlignment="1">
      <alignment horizontal="left" wrapText="1" indent="1"/>
    </xf>
    <xf numFmtId="0" fontId="12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" fillId="12" borderId="4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25" fillId="0" borderId="0" xfId="5" applyFont="1" applyAlignment="1">
      <alignment horizontal="center"/>
    </xf>
    <xf numFmtId="0" fontId="26" fillId="0" borderId="0" xfId="5" applyFont="1" applyAlignment="1">
      <alignment horizontal="center"/>
    </xf>
    <xf numFmtId="0" fontId="31" fillId="0" borderId="0" xfId="5" applyFont="1" applyAlignment="1">
      <alignment horizontal="center" vertical="center" wrapText="1"/>
    </xf>
    <xf numFmtId="0" fontId="24" fillId="0" borderId="0" xfId="5" applyFont="1" applyAlignment="1">
      <alignment horizontal="center" vertical="center"/>
    </xf>
    <xf numFmtId="0" fontId="31" fillId="0" borderId="0" xfId="5" applyFont="1" applyAlignment="1">
      <alignment horizontal="center"/>
    </xf>
    <xf numFmtId="0" fontId="1" fillId="0" borderId="2" xfId="5" applyBorder="1" applyAlignment="1">
      <alignment horizontal="center" vertical="center"/>
    </xf>
    <xf numFmtId="0" fontId="1" fillId="0" borderId="3" xfId="5" applyBorder="1" applyAlignment="1">
      <alignment horizontal="center" vertical="center"/>
    </xf>
    <xf numFmtId="0" fontId="1" fillId="0" borderId="2" xfId="5" applyBorder="1" applyAlignment="1">
      <alignment horizontal="center" vertical="center" wrapText="1"/>
    </xf>
    <xf numFmtId="0" fontId="1" fillId="0" borderId="3" xfId="5" applyBorder="1" applyAlignment="1">
      <alignment horizontal="center" vertical="center" wrapText="1"/>
    </xf>
    <xf numFmtId="0" fontId="19" fillId="0" borderId="0" xfId="5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5" applyBorder="1" applyAlignment="1">
      <alignment horizontal="center" vertical="center"/>
    </xf>
    <xf numFmtId="0" fontId="27" fillId="0" borderId="0" xfId="5" applyFont="1" applyAlignment="1">
      <alignment horizontal="center"/>
    </xf>
    <xf numFmtId="0" fontId="1" fillId="0" borderId="0" xfId="5" applyAlignment="1">
      <alignment horizontal="center"/>
    </xf>
    <xf numFmtId="0" fontId="28" fillId="0" borderId="0" xfId="5" applyFont="1" applyAlignment="1">
      <alignment horizontal="center" vertical="center"/>
    </xf>
    <xf numFmtId="0" fontId="1" fillId="0" borderId="0" xfId="5" applyAlignment="1">
      <alignment horizontal="center" vertical="center" wrapText="1"/>
    </xf>
    <xf numFmtId="0" fontId="21" fillId="0" borderId="0" xfId="5" applyFont="1" applyAlignment="1">
      <alignment horizontal="center" vertical="center"/>
    </xf>
    <xf numFmtId="0" fontId="1" fillId="0" borderId="4" xfId="5" applyBorder="1" applyAlignment="1">
      <alignment horizontal="center" vertical="center"/>
    </xf>
    <xf numFmtId="0" fontId="1" fillId="0" borderId="7" xfId="5" applyBorder="1" applyAlignment="1">
      <alignment horizontal="center" vertical="center"/>
    </xf>
  </cellXfs>
  <cellStyles count="6">
    <cellStyle name="Normal" xfId="0" builtinId="0"/>
    <cellStyle name="Normal 2" xfId="4" xr:uid="{00000000-0005-0000-0000-000001000000}"/>
    <cellStyle name="Normal 2 2" xfId="1" xr:uid="{00000000-0005-0000-0000-000002000000}"/>
    <cellStyle name="Normal 3" xfId="5" xr:uid="{00000000-0005-0000-0000-000003000000}"/>
    <cellStyle name="Normal 7" xfId="2" xr:uid="{00000000-0005-0000-0000-000004000000}"/>
    <cellStyle name="Normal 8" xfId="3" xr:uid="{00000000-0005-0000-0000-000005000000}"/>
  </cellStyles>
  <dxfs count="2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ek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3.png"/><Relationship Id="rId1" Type="http://schemas.openxmlformats.org/officeDocument/2006/relationships/hyperlink" Target="#Sour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4.png"/><Relationship Id="rId1" Type="http://schemas.openxmlformats.org/officeDocument/2006/relationships/hyperlink" Target="#Sour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5.png"/><Relationship Id="rId1" Type="http://schemas.openxmlformats.org/officeDocument/2006/relationships/hyperlink" Target="#Sour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114056</xdr:rowOff>
    </xdr:from>
    <xdr:to>
      <xdr:col>10</xdr:col>
      <xdr:colOff>452717</xdr:colOff>
      <xdr:row>3</xdr:row>
      <xdr:rowOff>93349</xdr:rowOff>
    </xdr:to>
    <xdr:pic>
      <xdr:nvPicPr>
        <xdr:cNvPr id="2" name="Graphic 1" descr="tekan untuk kembali ke halaman indeks navigas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EBEA2F-CF75-8F44-914A-7A0EE0C00D34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801458" y="114056"/>
          <a:ext cx="452717" cy="4745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4224</xdr:colOff>
      <xdr:row>2</xdr:row>
      <xdr:rowOff>61172</xdr:rowOff>
    </xdr:from>
    <xdr:to>
      <xdr:col>25</xdr:col>
      <xdr:colOff>461448</xdr:colOff>
      <xdr:row>4</xdr:row>
      <xdr:rowOff>163244</xdr:rowOff>
    </xdr:to>
    <xdr:pic>
      <xdr:nvPicPr>
        <xdr:cNvPr id="2" name="Graphic 1" descr="tekan untuk kembali ke halaman indeks navigas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C933F-2B60-8146-B7D7-AD3C0844E05F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0591995" y="244786"/>
          <a:ext cx="457224" cy="4693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326572</xdr:colOff>
      <xdr:row>1</xdr:row>
      <xdr:rowOff>0</xdr:rowOff>
    </xdr:from>
    <xdr:to>
      <xdr:col>14</xdr:col>
      <xdr:colOff>783796</xdr:colOff>
      <xdr:row>2</xdr:row>
      <xdr:rowOff>210766</xdr:rowOff>
    </xdr:to>
    <xdr:pic>
      <xdr:nvPicPr>
        <xdr:cNvPr id="3" name="Graphic 2" descr="tekan untuk kembali ke halaman indeks navigas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C08B9F-DDE9-4AED-AD80-6E850807FF0D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321893" y="258536"/>
          <a:ext cx="457224" cy="4693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226220</xdr:colOff>
      <xdr:row>1</xdr:row>
      <xdr:rowOff>1</xdr:rowOff>
    </xdr:from>
    <xdr:to>
      <xdr:col>17</xdr:col>
      <xdr:colOff>683444</xdr:colOff>
      <xdr:row>3</xdr:row>
      <xdr:rowOff>64490</xdr:rowOff>
    </xdr:to>
    <xdr:pic>
      <xdr:nvPicPr>
        <xdr:cNvPr id="3" name="Graphic 2" descr="tekan untuk kembali ke halaman indeks navigas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2AA066-CD48-4705-8219-52A8BD470C4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895220" y="202407"/>
          <a:ext cx="457224" cy="469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view="pageBreakPreview" zoomScale="130" zoomScaleSheetLayoutView="130" workbookViewId="0">
      <selection activeCell="B20" sqref="B20"/>
    </sheetView>
  </sheetViews>
  <sheetFormatPr defaultColWidth="9.140625" defaultRowHeight="15" x14ac:dyDescent="0.25"/>
  <cols>
    <col min="1" max="1" width="5.42578125" style="1" customWidth="1"/>
    <col min="2" max="2" width="26.42578125" style="1" customWidth="1"/>
    <col min="3" max="5" width="9.140625" style="1"/>
    <col min="6" max="6" width="12" style="1" customWidth="1"/>
    <col min="7" max="16384" width="9.140625" style="1"/>
  </cols>
  <sheetData>
    <row r="1" spans="1:10" x14ac:dyDescent="0.25">
      <c r="E1" s="167" t="s">
        <v>18</v>
      </c>
      <c r="F1" s="167"/>
      <c r="G1" s="167"/>
    </row>
    <row r="2" spans="1:10" x14ac:dyDescent="0.25">
      <c r="F2" s="2"/>
    </row>
    <row r="3" spans="1:10" x14ac:dyDescent="0.25">
      <c r="A3" s="168" t="s">
        <v>17</v>
      </c>
      <c r="B3" s="168"/>
      <c r="C3" s="168"/>
      <c r="D3" s="168"/>
      <c r="E3" s="168"/>
      <c r="F3" s="168"/>
    </row>
    <row r="4" spans="1:10" ht="15.75" x14ac:dyDescent="0.25">
      <c r="A4" s="169" t="s">
        <v>5</v>
      </c>
      <c r="B4" s="169"/>
      <c r="C4" s="169"/>
      <c r="D4" s="169"/>
      <c r="E4" s="169"/>
      <c r="F4" s="169"/>
      <c r="G4" s="5"/>
      <c r="H4" s="5"/>
      <c r="I4" s="5"/>
      <c r="J4" s="5"/>
    </row>
    <row r="5" spans="1:10" ht="15.75" x14ac:dyDescent="0.25">
      <c r="A5" s="169" t="s">
        <v>6</v>
      </c>
      <c r="B5" s="169"/>
      <c r="C5" s="169"/>
      <c r="D5" s="169"/>
      <c r="E5" s="169"/>
      <c r="F5" s="169"/>
      <c r="G5" s="5"/>
      <c r="H5" s="5"/>
      <c r="I5" s="5"/>
      <c r="J5" s="5"/>
    </row>
    <row r="7" spans="1:10" x14ac:dyDescent="0.25">
      <c r="A7" s="170" t="s">
        <v>9</v>
      </c>
      <c r="B7" s="170" t="s">
        <v>10</v>
      </c>
      <c r="C7" s="173" t="s">
        <v>11</v>
      </c>
      <c r="D7" s="176" t="s">
        <v>12</v>
      </c>
      <c r="E7" s="176"/>
      <c r="F7" s="176"/>
    </row>
    <row r="8" spans="1:10" x14ac:dyDescent="0.25">
      <c r="A8" s="171"/>
      <c r="B8" s="171"/>
      <c r="C8" s="174"/>
      <c r="D8" s="173" t="s">
        <v>13</v>
      </c>
      <c r="E8" s="177" t="s">
        <v>14</v>
      </c>
      <c r="F8" s="177" t="s">
        <v>15</v>
      </c>
    </row>
    <row r="9" spans="1:10" x14ac:dyDescent="0.25">
      <c r="A9" s="171"/>
      <c r="B9" s="171"/>
      <c r="C9" s="174"/>
      <c r="D9" s="174"/>
      <c r="E9" s="178"/>
      <c r="F9" s="178"/>
    </row>
    <row r="10" spans="1:10" x14ac:dyDescent="0.25">
      <c r="A10" s="172"/>
      <c r="B10" s="172"/>
      <c r="C10" s="175"/>
      <c r="D10" s="175"/>
      <c r="E10" s="179"/>
      <c r="F10" s="179"/>
    </row>
    <row r="11" spans="1:10" x14ac:dyDescent="0.25">
      <c r="A11" s="4">
        <v>1</v>
      </c>
      <c r="B11" s="3" t="s">
        <v>16</v>
      </c>
      <c r="C11" s="4">
        <v>80</v>
      </c>
      <c r="D11" s="4">
        <v>80</v>
      </c>
      <c r="E11" s="4">
        <v>36</v>
      </c>
      <c r="F11" s="4">
        <v>36</v>
      </c>
      <c r="H11" s="1" t="s">
        <v>20</v>
      </c>
    </row>
  </sheetData>
  <mergeCells count="11">
    <mergeCell ref="E1:G1"/>
    <mergeCell ref="A3:F3"/>
    <mergeCell ref="A4:F4"/>
    <mergeCell ref="A5:F5"/>
    <mergeCell ref="A7:A10"/>
    <mergeCell ref="B7:B10"/>
    <mergeCell ref="C7:C10"/>
    <mergeCell ref="D7:F7"/>
    <mergeCell ref="D8:D10"/>
    <mergeCell ref="E8:E10"/>
    <mergeCell ref="F8:F10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J71"/>
  <sheetViews>
    <sheetView showGridLines="0" view="pageBreakPreview" topLeftCell="A21" zoomScaleSheetLayoutView="100" workbookViewId="0">
      <selection activeCell="G46" sqref="G46:J46"/>
    </sheetView>
  </sheetViews>
  <sheetFormatPr defaultColWidth="8.42578125" defaultRowHeight="14.25" customHeight="1" x14ac:dyDescent="0.25"/>
  <cols>
    <col min="1" max="1" width="1.42578125" customWidth="1"/>
    <col min="2" max="2" width="7.42578125" customWidth="1"/>
    <col min="3" max="3" width="1.42578125" customWidth="1"/>
    <col min="4" max="4" width="16.42578125" customWidth="1"/>
    <col min="5" max="5" width="1.42578125" customWidth="1"/>
    <col min="6" max="6" width="19.42578125" customWidth="1"/>
    <col min="7" max="7" width="6.42578125" customWidth="1"/>
    <col min="8" max="8" width="1.42578125" customWidth="1"/>
    <col min="9" max="9" width="8.42578125" customWidth="1"/>
    <col min="10" max="10" width="9.42578125" customWidth="1"/>
  </cols>
  <sheetData>
    <row r="1" spans="1:10" ht="14.25" customHeight="1" x14ac:dyDescent="0.25">
      <c r="A1" s="180" t="s">
        <v>59</v>
      </c>
      <c r="B1" s="180"/>
      <c r="C1" s="180"/>
      <c r="D1" s="180"/>
      <c r="E1" s="180"/>
      <c r="F1" s="180"/>
      <c r="G1" s="180"/>
      <c r="H1" s="180"/>
      <c r="I1" s="180"/>
      <c r="J1" s="180"/>
    </row>
    <row r="3" spans="1:10" s="9" customFormat="1" ht="11.25" customHeight="1" x14ac:dyDescent="0.2">
      <c r="A3" s="8" t="s">
        <v>60</v>
      </c>
      <c r="C3" s="9" t="s">
        <v>41</v>
      </c>
      <c r="D3" s="181" t="s">
        <v>65</v>
      </c>
      <c r="E3" s="181"/>
      <c r="F3" s="8" t="s">
        <v>61</v>
      </c>
      <c r="G3" s="8"/>
      <c r="H3" s="9" t="s">
        <v>41</v>
      </c>
      <c r="I3" s="181" t="s">
        <v>65</v>
      </c>
      <c r="J3" s="181"/>
    </row>
    <row r="4" spans="1:10" s="9" customFormat="1" ht="11.25" customHeight="1" x14ac:dyDescent="0.2">
      <c r="A4" s="8" t="s">
        <v>28</v>
      </c>
      <c r="C4" s="9" t="s">
        <v>41</v>
      </c>
      <c r="D4" s="181" t="s">
        <v>65</v>
      </c>
      <c r="E4" s="181"/>
      <c r="F4" s="8" t="s">
        <v>62</v>
      </c>
      <c r="G4" s="8"/>
      <c r="H4" s="9" t="s">
        <v>41</v>
      </c>
      <c r="I4" s="181" t="s">
        <v>65</v>
      </c>
      <c r="J4" s="181"/>
    </row>
    <row r="5" spans="1:10" s="9" customFormat="1" ht="11.25" customHeight="1" x14ac:dyDescent="0.2">
      <c r="A5" s="8" t="s">
        <v>63</v>
      </c>
      <c r="C5" s="9" t="s">
        <v>41</v>
      </c>
      <c r="D5" s="181" t="s">
        <v>65</v>
      </c>
      <c r="E5" s="181"/>
      <c r="F5" s="8" t="s">
        <v>64</v>
      </c>
      <c r="G5" s="8"/>
      <c r="H5" s="9" t="s">
        <v>41</v>
      </c>
      <c r="I5" s="10" t="s">
        <v>65</v>
      </c>
    </row>
    <row r="6" spans="1:10" s="9" customFormat="1" ht="11.25" customHeight="1" x14ac:dyDescent="0.2">
      <c r="A6" s="8" t="s">
        <v>66</v>
      </c>
      <c r="C6" s="9" t="s">
        <v>41</v>
      </c>
      <c r="D6" s="181" t="s">
        <v>65</v>
      </c>
      <c r="E6" s="181"/>
      <c r="F6" s="8" t="s">
        <v>67</v>
      </c>
      <c r="G6" s="8"/>
      <c r="H6" s="9" t="s">
        <v>41</v>
      </c>
      <c r="I6" s="181" t="s">
        <v>65</v>
      </c>
      <c r="J6" s="181"/>
    </row>
    <row r="7" spans="1:10" s="9" customFormat="1" ht="11.25" customHeight="1" x14ac:dyDescent="0.2">
      <c r="A7" s="8" t="s">
        <v>40</v>
      </c>
      <c r="C7" s="9" t="s">
        <v>41</v>
      </c>
      <c r="D7" s="181" t="s">
        <v>65</v>
      </c>
      <c r="E7" s="181"/>
      <c r="F7" s="8" t="s">
        <v>68</v>
      </c>
      <c r="G7" s="8"/>
      <c r="H7" s="9" t="s">
        <v>41</v>
      </c>
      <c r="I7" s="181" t="s">
        <v>65</v>
      </c>
      <c r="J7" s="181"/>
    </row>
    <row r="8" spans="1:10" s="9" customFormat="1" ht="11.25" customHeight="1" x14ac:dyDescent="0.2">
      <c r="A8" s="8" t="s">
        <v>69</v>
      </c>
      <c r="C8" s="9" t="s">
        <v>41</v>
      </c>
      <c r="D8" s="181" t="s">
        <v>65</v>
      </c>
      <c r="E8" s="181"/>
      <c r="F8" s="8" t="s">
        <v>70</v>
      </c>
      <c r="G8" s="8"/>
      <c r="H8" s="9" t="s">
        <v>41</v>
      </c>
      <c r="I8" s="11" t="s">
        <v>65</v>
      </c>
    </row>
    <row r="9" spans="1:10" s="9" customFormat="1" ht="11.25" customHeight="1" x14ac:dyDescent="0.2">
      <c r="A9" s="8" t="s">
        <v>42</v>
      </c>
      <c r="C9" s="9" t="s">
        <v>41</v>
      </c>
      <c r="D9" s="181" t="s">
        <v>65</v>
      </c>
      <c r="E9" s="181"/>
      <c r="F9" s="8" t="s">
        <v>71</v>
      </c>
      <c r="G9" s="8"/>
      <c r="H9" s="9" t="s">
        <v>41</v>
      </c>
      <c r="I9" s="11" t="s">
        <v>65</v>
      </c>
    </row>
    <row r="10" spans="1:10" s="9" customFormat="1" ht="11.25" customHeight="1" x14ac:dyDescent="0.2">
      <c r="A10" s="8" t="s">
        <v>72</v>
      </c>
      <c r="C10" s="9" t="s">
        <v>41</v>
      </c>
      <c r="D10" s="181" t="s">
        <v>65</v>
      </c>
      <c r="E10" s="181"/>
    </row>
    <row r="12" spans="1:10" ht="14.25" customHeight="1" x14ac:dyDescent="0.25">
      <c r="A12" s="182" t="s">
        <v>73</v>
      </c>
      <c r="B12" s="183"/>
      <c r="C12" s="184" t="s">
        <v>74</v>
      </c>
      <c r="D12" s="184"/>
      <c r="E12" s="184"/>
      <c r="F12" s="184"/>
      <c r="G12" s="184"/>
      <c r="H12" s="184"/>
      <c r="I12" s="184"/>
      <c r="J12" s="184"/>
    </row>
    <row r="13" spans="1:10" ht="14.25" customHeight="1" x14ac:dyDescent="0.25">
      <c r="A13" s="182"/>
      <c r="B13" s="183"/>
      <c r="C13" s="185" t="s">
        <v>31</v>
      </c>
      <c r="D13" s="185"/>
      <c r="E13" s="186" t="s">
        <v>32</v>
      </c>
      <c r="F13" s="187"/>
      <c r="G13" s="188"/>
      <c r="H13" s="189" t="s">
        <v>33</v>
      </c>
      <c r="I13" s="190"/>
      <c r="J13" s="191"/>
    </row>
    <row r="14" spans="1:10" s="14" customFormat="1" ht="12" customHeight="1" x14ac:dyDescent="0.25">
      <c r="A14" s="182" t="s">
        <v>75</v>
      </c>
      <c r="B14" s="182"/>
      <c r="C14" s="182"/>
      <c r="D14" s="182"/>
      <c r="E14" s="182"/>
      <c r="F14" s="182"/>
      <c r="G14" s="182"/>
      <c r="H14" s="182"/>
      <c r="I14" s="182"/>
      <c r="J14" s="183"/>
    </row>
    <row r="15" spans="1:10" ht="12" customHeight="1" x14ac:dyDescent="0.25">
      <c r="A15" s="192" t="s">
        <v>76</v>
      </c>
      <c r="B15" s="193"/>
      <c r="C15" s="15">
        <v>0</v>
      </c>
      <c r="D15" s="16" t="s">
        <v>77</v>
      </c>
      <c r="E15" s="12">
        <v>0</v>
      </c>
      <c r="F15" s="194" t="s">
        <v>78</v>
      </c>
      <c r="G15" s="195"/>
      <c r="H15" s="13">
        <v>0</v>
      </c>
      <c r="I15" s="196" t="s">
        <v>79</v>
      </c>
      <c r="J15" s="197"/>
    </row>
    <row r="16" spans="1:10" ht="12" customHeight="1" x14ac:dyDescent="0.25">
      <c r="A16" s="192" t="s">
        <v>80</v>
      </c>
      <c r="B16" s="193"/>
      <c r="C16" s="15">
        <v>0</v>
      </c>
      <c r="D16" s="16" t="s">
        <v>77</v>
      </c>
      <c r="E16" s="12">
        <v>0</v>
      </c>
      <c r="F16" s="194" t="s">
        <v>78</v>
      </c>
      <c r="G16" s="195"/>
      <c r="H16" s="13">
        <v>0</v>
      </c>
      <c r="I16" s="196" t="s">
        <v>79</v>
      </c>
      <c r="J16" s="197"/>
    </row>
    <row r="17" spans="1:10" ht="12" customHeight="1" x14ac:dyDescent="0.25">
      <c r="A17" s="192" t="s">
        <v>81</v>
      </c>
      <c r="B17" s="193"/>
      <c r="C17" s="15">
        <v>0</v>
      </c>
      <c r="D17" s="16" t="s">
        <v>77</v>
      </c>
      <c r="E17" s="12">
        <v>0</v>
      </c>
      <c r="F17" s="194" t="s">
        <v>78</v>
      </c>
      <c r="G17" s="195"/>
      <c r="H17" s="13">
        <v>0</v>
      </c>
      <c r="I17" s="196" t="s">
        <v>79</v>
      </c>
      <c r="J17" s="197"/>
    </row>
    <row r="18" spans="1:10" ht="12" customHeight="1" x14ac:dyDescent="0.25">
      <c r="A18" s="192" t="s">
        <v>82</v>
      </c>
      <c r="B18" s="193"/>
      <c r="C18" s="15">
        <v>0</v>
      </c>
      <c r="D18" s="16" t="s">
        <v>77</v>
      </c>
      <c r="E18" s="12">
        <v>0</v>
      </c>
      <c r="F18" s="194" t="s">
        <v>78</v>
      </c>
      <c r="G18" s="195"/>
      <c r="H18" s="13">
        <v>0</v>
      </c>
      <c r="I18" s="196" t="s">
        <v>79</v>
      </c>
      <c r="J18" s="197"/>
    </row>
    <row r="19" spans="1:10" ht="12" customHeight="1" x14ac:dyDescent="0.25">
      <c r="A19" s="192" t="s">
        <v>83</v>
      </c>
      <c r="B19" s="193"/>
      <c r="C19" s="15">
        <v>0</v>
      </c>
      <c r="D19" s="16" t="s">
        <v>77</v>
      </c>
      <c r="E19" s="12">
        <v>0</v>
      </c>
      <c r="F19" s="194" t="s">
        <v>78</v>
      </c>
      <c r="G19" s="195"/>
      <c r="H19" s="13">
        <v>0</v>
      </c>
      <c r="I19" s="196" t="s">
        <v>79</v>
      </c>
      <c r="J19" s="197"/>
    </row>
    <row r="20" spans="1:10" ht="12" customHeight="1" x14ac:dyDescent="0.25">
      <c r="A20" s="182" t="s">
        <v>84</v>
      </c>
      <c r="B20" s="182"/>
      <c r="C20" s="182"/>
      <c r="D20" s="182"/>
      <c r="E20" s="182"/>
      <c r="F20" s="182"/>
      <c r="G20" s="182"/>
      <c r="H20" s="182"/>
      <c r="I20" s="182"/>
      <c r="J20" s="183"/>
    </row>
    <row r="21" spans="1:10" ht="54.95" customHeight="1" x14ac:dyDescent="0.25">
      <c r="A21" s="198" t="s">
        <v>85</v>
      </c>
      <c r="B21" s="199"/>
      <c r="C21" s="15">
        <v>0</v>
      </c>
      <c r="D21" s="17" t="s">
        <v>86</v>
      </c>
      <c r="E21" s="12">
        <v>0</v>
      </c>
      <c r="F21" s="200" t="s">
        <v>87</v>
      </c>
      <c r="G21" s="201"/>
      <c r="H21" s="13">
        <v>0</v>
      </c>
      <c r="I21" s="202" t="s">
        <v>88</v>
      </c>
      <c r="J21" s="203"/>
    </row>
    <row r="22" spans="1:10" ht="36" customHeight="1" x14ac:dyDescent="0.25">
      <c r="A22" s="198" t="s">
        <v>89</v>
      </c>
      <c r="B22" s="199"/>
      <c r="C22" s="15">
        <v>0</v>
      </c>
      <c r="D22" s="17" t="s">
        <v>90</v>
      </c>
      <c r="E22" s="12">
        <v>0</v>
      </c>
      <c r="F22" s="200" t="s">
        <v>91</v>
      </c>
      <c r="G22" s="201"/>
      <c r="H22" s="13">
        <v>0</v>
      </c>
      <c r="I22" s="204" t="s">
        <v>92</v>
      </c>
      <c r="J22" s="205"/>
    </row>
    <row r="23" spans="1:10" ht="48" customHeight="1" x14ac:dyDescent="0.25">
      <c r="A23" s="198" t="s">
        <v>93</v>
      </c>
      <c r="B23" s="199"/>
      <c r="C23" s="15">
        <v>0</v>
      </c>
      <c r="D23" s="17" t="s">
        <v>94</v>
      </c>
      <c r="E23" s="12">
        <v>0</v>
      </c>
      <c r="F23" s="200" t="s">
        <v>95</v>
      </c>
      <c r="G23" s="201"/>
      <c r="H23" s="13">
        <v>0</v>
      </c>
      <c r="I23" s="202" t="s">
        <v>92</v>
      </c>
      <c r="J23" s="203"/>
    </row>
    <row r="24" spans="1:10" ht="12" customHeight="1" x14ac:dyDescent="0.25">
      <c r="A24" s="182" t="s">
        <v>96</v>
      </c>
      <c r="B24" s="182"/>
      <c r="C24" s="182"/>
      <c r="D24" s="182"/>
      <c r="E24" s="182"/>
      <c r="F24" s="182"/>
      <c r="G24" s="182"/>
      <c r="H24" s="182"/>
      <c r="I24" s="182"/>
      <c r="J24" s="183"/>
    </row>
    <row r="25" spans="1:10" ht="24" customHeight="1" x14ac:dyDescent="0.25">
      <c r="A25" s="206" t="s">
        <v>97</v>
      </c>
      <c r="B25" s="207"/>
      <c r="C25" s="15">
        <v>0</v>
      </c>
      <c r="D25" s="17" t="s">
        <v>98</v>
      </c>
      <c r="E25" s="208"/>
      <c r="F25" s="209"/>
      <c r="G25" s="210"/>
      <c r="H25" s="13">
        <v>0</v>
      </c>
      <c r="I25" s="202" t="s">
        <v>99</v>
      </c>
      <c r="J25" s="203"/>
    </row>
    <row r="26" spans="1:10" ht="24" customHeight="1" x14ac:dyDescent="0.25">
      <c r="A26" s="206" t="s">
        <v>100</v>
      </c>
      <c r="B26" s="207"/>
      <c r="C26" s="15">
        <v>0</v>
      </c>
      <c r="D26" s="17" t="s">
        <v>98</v>
      </c>
      <c r="E26" s="208"/>
      <c r="F26" s="209"/>
      <c r="G26" s="210"/>
      <c r="H26" s="13">
        <v>0</v>
      </c>
      <c r="I26" s="202" t="s">
        <v>99</v>
      </c>
      <c r="J26" s="203"/>
    </row>
    <row r="27" spans="1:10" ht="48" customHeight="1" x14ac:dyDescent="0.25">
      <c r="A27" s="198" t="s">
        <v>101</v>
      </c>
      <c r="B27" s="199"/>
      <c r="C27" s="15">
        <v>0</v>
      </c>
      <c r="D27" s="17" t="s">
        <v>102</v>
      </c>
      <c r="E27" s="12">
        <v>0</v>
      </c>
      <c r="F27" s="200" t="s">
        <v>102</v>
      </c>
      <c r="G27" s="201"/>
      <c r="H27" s="13">
        <v>0</v>
      </c>
      <c r="I27" s="202" t="s">
        <v>103</v>
      </c>
      <c r="J27" s="203"/>
    </row>
    <row r="28" spans="1:10" ht="24" customHeight="1" x14ac:dyDescent="0.25">
      <c r="A28" s="198" t="s">
        <v>104</v>
      </c>
      <c r="B28" s="199"/>
      <c r="C28" s="15">
        <v>0</v>
      </c>
      <c r="D28" s="17" t="s">
        <v>105</v>
      </c>
      <c r="E28" s="12">
        <v>0</v>
      </c>
      <c r="F28" s="200" t="s">
        <v>106</v>
      </c>
      <c r="G28" s="201"/>
      <c r="H28" s="13">
        <v>0</v>
      </c>
      <c r="I28" s="202" t="s">
        <v>107</v>
      </c>
      <c r="J28" s="203"/>
    </row>
    <row r="29" spans="1:10" ht="36" customHeight="1" x14ac:dyDescent="0.25">
      <c r="A29" s="206" t="s">
        <v>108</v>
      </c>
      <c r="B29" s="207"/>
      <c r="C29" s="15">
        <v>0</v>
      </c>
      <c r="D29" s="17" t="s">
        <v>109</v>
      </c>
      <c r="E29" s="208"/>
      <c r="F29" s="209"/>
      <c r="G29" s="210"/>
      <c r="H29" s="13">
        <v>0</v>
      </c>
      <c r="I29" s="202" t="s">
        <v>110</v>
      </c>
      <c r="J29" s="203"/>
    </row>
    <row r="30" spans="1:10" ht="12" customHeight="1" x14ac:dyDescent="0.25">
      <c r="A30" s="182" t="s">
        <v>111</v>
      </c>
      <c r="B30" s="182"/>
      <c r="C30" s="182"/>
      <c r="D30" s="182"/>
      <c r="E30" s="182"/>
      <c r="F30" s="182"/>
      <c r="G30" s="182"/>
      <c r="H30" s="182"/>
      <c r="I30" s="182"/>
      <c r="J30" s="183"/>
    </row>
    <row r="31" spans="1:10" ht="36" customHeight="1" x14ac:dyDescent="0.25">
      <c r="A31" s="206" t="s">
        <v>112</v>
      </c>
      <c r="B31" s="207"/>
      <c r="C31" s="15">
        <v>0</v>
      </c>
      <c r="D31" s="17" t="s">
        <v>113</v>
      </c>
      <c r="E31" s="12">
        <v>0</v>
      </c>
      <c r="F31" s="200" t="s">
        <v>114</v>
      </c>
      <c r="G31" s="201"/>
      <c r="H31" s="13">
        <v>0</v>
      </c>
      <c r="I31" s="202" t="s">
        <v>115</v>
      </c>
      <c r="J31" s="203"/>
    </row>
    <row r="32" spans="1:10" s="9" customFormat="1" ht="12" customHeight="1" x14ac:dyDescent="0.2"/>
    <row r="33" spans="1:10" s="9" customFormat="1" ht="36" customHeight="1" x14ac:dyDescent="0.2">
      <c r="A33" s="211" t="s">
        <v>116</v>
      </c>
      <c r="B33" s="212"/>
      <c r="C33" s="212"/>
      <c r="D33" s="213"/>
      <c r="E33" s="214" t="s">
        <v>117</v>
      </c>
      <c r="F33" s="215"/>
      <c r="G33" s="214" t="s">
        <v>118</v>
      </c>
      <c r="H33" s="215"/>
      <c r="I33" s="214" t="s">
        <v>119</v>
      </c>
      <c r="J33" s="215"/>
    </row>
    <row r="34" spans="1:10" s="9" customFormat="1" ht="25.5" customHeight="1" x14ac:dyDescent="0.2">
      <c r="A34" s="18">
        <v>0</v>
      </c>
      <c r="B34" s="216" t="s">
        <v>120</v>
      </c>
      <c r="C34" s="216"/>
      <c r="D34" s="216"/>
      <c r="E34" s="19">
        <f>IF(AND($A$36=1,I3&lt;I4,OR(I6=0,I6&gt;10),I7&gt;=3,OR(C31=1,E31=1),E35=0),1,0)</f>
        <v>0</v>
      </c>
      <c r="F34" s="20" t="s">
        <v>121</v>
      </c>
      <c r="G34" s="217"/>
      <c r="H34" s="218"/>
      <c r="I34" s="223"/>
      <c r="J34" s="224"/>
    </row>
    <row r="35" spans="1:10" s="9" customFormat="1" ht="24" customHeight="1" x14ac:dyDescent="0.2">
      <c r="A35" s="18">
        <v>0</v>
      </c>
      <c r="B35" s="216" t="s">
        <v>122</v>
      </c>
      <c r="C35" s="216"/>
      <c r="D35" s="216"/>
      <c r="E35" s="19">
        <f>IF(AND(A36=1,OR(H25=1,H26=1)),1,0)</f>
        <v>0</v>
      </c>
      <c r="F35" s="20" t="s">
        <v>123</v>
      </c>
      <c r="G35" s="219"/>
      <c r="H35" s="220"/>
      <c r="I35" s="225"/>
      <c r="J35" s="226"/>
    </row>
    <row r="36" spans="1:10" s="9" customFormat="1" ht="24" customHeight="1" x14ac:dyDescent="0.2">
      <c r="A36" s="18">
        <v>0</v>
      </c>
      <c r="B36" s="216" t="s">
        <v>124</v>
      </c>
      <c r="C36" s="216"/>
      <c r="D36" s="216"/>
      <c r="E36" s="19">
        <v>0</v>
      </c>
      <c r="F36" s="20" t="s">
        <v>125</v>
      </c>
      <c r="G36" s="219"/>
      <c r="H36" s="220"/>
      <c r="I36" s="225"/>
      <c r="J36" s="226"/>
    </row>
    <row r="37" spans="1:10" s="9" customFormat="1" ht="24" customHeight="1" x14ac:dyDescent="0.2">
      <c r="A37" s="229"/>
      <c r="B37" s="229"/>
      <c r="C37" s="229"/>
      <c r="D37" s="229"/>
      <c r="E37" s="19">
        <v>0</v>
      </c>
      <c r="F37" s="20" t="s">
        <v>126</v>
      </c>
      <c r="G37" s="221"/>
      <c r="H37" s="222"/>
      <c r="I37" s="227"/>
      <c r="J37" s="228"/>
    </row>
    <row r="38" spans="1:10" s="9" customFormat="1" ht="12" customHeight="1" x14ac:dyDescent="0.2"/>
    <row r="39" spans="1:10" s="9" customFormat="1" ht="36" customHeight="1" x14ac:dyDescent="0.2">
      <c r="A39" s="7" t="s">
        <v>47</v>
      </c>
      <c r="B39" s="231" t="s">
        <v>127</v>
      </c>
      <c r="C39" s="231"/>
      <c r="D39" s="232"/>
      <c r="E39" s="7" t="s">
        <v>31</v>
      </c>
      <c r="F39" s="231" t="s">
        <v>128</v>
      </c>
      <c r="G39" s="231"/>
      <c r="H39" s="231"/>
      <c r="I39" s="231"/>
      <c r="J39" s="231"/>
    </row>
    <row r="40" spans="1:10" s="9" customFormat="1" ht="24" customHeight="1" x14ac:dyDescent="0.2">
      <c r="A40" s="21">
        <v>1</v>
      </c>
      <c r="B40" s="233" t="s">
        <v>129</v>
      </c>
      <c r="C40" s="233"/>
      <c r="D40" s="234"/>
      <c r="F40" s="231"/>
      <c r="G40" s="231"/>
      <c r="H40" s="231"/>
      <c r="I40" s="231"/>
      <c r="J40" s="231"/>
    </row>
    <row r="41" spans="1:10" s="9" customFormat="1" ht="36" customHeight="1" x14ac:dyDescent="0.2">
      <c r="A41" s="21">
        <v>2</v>
      </c>
      <c r="B41" s="233" t="s">
        <v>130</v>
      </c>
      <c r="C41" s="233"/>
      <c r="D41" s="234"/>
      <c r="F41" s="231"/>
      <c r="G41" s="231"/>
      <c r="H41" s="231"/>
      <c r="I41" s="231"/>
      <c r="J41" s="231"/>
    </row>
    <row r="42" spans="1:10" s="9" customFormat="1" ht="24" customHeight="1" x14ac:dyDescent="0.2">
      <c r="A42" s="21">
        <v>3</v>
      </c>
      <c r="B42" s="233" t="s">
        <v>131</v>
      </c>
      <c r="C42" s="233"/>
      <c r="D42" s="234"/>
      <c r="E42" s="7" t="s">
        <v>32</v>
      </c>
      <c r="F42" s="231" t="s">
        <v>132</v>
      </c>
      <c r="G42" s="231"/>
      <c r="H42" s="231"/>
      <c r="I42" s="231"/>
      <c r="J42" s="231"/>
    </row>
    <row r="43" spans="1:10" s="9" customFormat="1" ht="24" customHeight="1" x14ac:dyDescent="0.2">
      <c r="A43" s="21">
        <v>4</v>
      </c>
      <c r="B43" s="233" t="s">
        <v>133</v>
      </c>
      <c r="C43" s="233"/>
      <c r="D43" s="234"/>
      <c r="E43" s="7" t="s">
        <v>33</v>
      </c>
      <c r="F43" s="231" t="s">
        <v>134</v>
      </c>
      <c r="G43" s="231"/>
      <c r="H43" s="231"/>
      <c r="I43" s="231"/>
      <c r="J43" s="231"/>
    </row>
    <row r="44" spans="1:10" ht="72" customHeight="1" x14ac:dyDescent="0.25">
      <c r="A44" s="7" t="s">
        <v>32</v>
      </c>
      <c r="B44" s="231" t="s">
        <v>135</v>
      </c>
      <c r="C44" s="231"/>
      <c r="D44" s="232"/>
      <c r="E44" s="7" t="s">
        <v>34</v>
      </c>
      <c r="F44" s="231" t="s">
        <v>136</v>
      </c>
      <c r="G44" s="231"/>
      <c r="H44" s="231"/>
      <c r="I44" s="231"/>
      <c r="J44" s="231"/>
    </row>
    <row r="45" spans="1:10" s="9" customFormat="1" ht="12" customHeight="1" x14ac:dyDescent="0.2"/>
    <row r="46" spans="1:10" s="9" customFormat="1" ht="12" customHeight="1" x14ac:dyDescent="0.2">
      <c r="G46" s="230"/>
      <c r="H46" s="230"/>
      <c r="I46" s="230"/>
      <c r="J46" s="230"/>
    </row>
    <row r="47" spans="1:10" s="9" customFormat="1" ht="12" customHeight="1" x14ac:dyDescent="0.2">
      <c r="A47" s="230" t="s">
        <v>49</v>
      </c>
      <c r="B47" s="230"/>
      <c r="C47" s="230"/>
      <c r="D47" s="230"/>
      <c r="E47" s="230" t="s">
        <v>50</v>
      </c>
      <c r="F47" s="230"/>
      <c r="G47" s="230" t="s">
        <v>137</v>
      </c>
      <c r="H47" s="230"/>
      <c r="I47" s="230"/>
      <c r="J47" s="230"/>
    </row>
    <row r="48" spans="1:10" s="9" customFormat="1" ht="12" customHeight="1" x14ac:dyDescent="0.2">
      <c r="A48" s="230" t="s">
        <v>138</v>
      </c>
      <c r="B48" s="230"/>
      <c r="C48" s="230"/>
      <c r="D48" s="230"/>
      <c r="E48" s="230" t="s">
        <v>139</v>
      </c>
      <c r="F48" s="230"/>
      <c r="G48" s="230" t="s">
        <v>37</v>
      </c>
      <c r="H48" s="230"/>
      <c r="I48" s="230"/>
      <c r="J48" s="230"/>
    </row>
    <row r="49" spans="1:10" s="9" customFormat="1" ht="12" customHeight="1" x14ac:dyDescent="0.2"/>
    <row r="50" spans="1:10" s="9" customFormat="1" ht="12" customHeight="1" x14ac:dyDescent="0.2"/>
    <row r="51" spans="1:10" s="9" customFormat="1" ht="12" customHeight="1" x14ac:dyDescent="0.2"/>
    <row r="52" spans="1:10" s="9" customFormat="1" ht="12" customHeight="1" x14ac:dyDescent="0.2"/>
    <row r="53" spans="1:10" s="9" customFormat="1" ht="12" customHeight="1" x14ac:dyDescent="0.2">
      <c r="A53" s="236" t="s">
        <v>65</v>
      </c>
      <c r="B53" s="236"/>
      <c r="C53" s="236"/>
      <c r="D53" s="236"/>
      <c r="E53" s="236" t="str">
        <f>$D$3</f>
        <v>…..........................................</v>
      </c>
      <c r="F53" s="236"/>
      <c r="G53" s="236" t="s">
        <v>65</v>
      </c>
      <c r="H53" s="236"/>
      <c r="I53" s="236"/>
      <c r="J53" s="236"/>
    </row>
    <row r="54" spans="1:10" s="9" customFormat="1" ht="12" customHeight="1" x14ac:dyDescent="0.2"/>
    <row r="55" spans="1:10" s="9" customFormat="1" ht="12" customHeight="1" x14ac:dyDescent="0.2">
      <c r="A55" s="9" t="s">
        <v>140</v>
      </c>
    </row>
    <row r="56" spans="1:10" s="9" customFormat="1" ht="12" customHeight="1" x14ac:dyDescent="0.2">
      <c r="A56" s="22">
        <v>1</v>
      </c>
      <c r="B56" s="9" t="s">
        <v>141</v>
      </c>
    </row>
    <row r="57" spans="1:10" ht="12" customHeight="1" x14ac:dyDescent="0.25">
      <c r="A57" s="22">
        <v>2</v>
      </c>
      <c r="B57" s="9" t="s">
        <v>142</v>
      </c>
    </row>
    <row r="58" spans="1:10" ht="12" customHeight="1" x14ac:dyDescent="0.25">
      <c r="A58" s="22">
        <v>3</v>
      </c>
      <c r="B58" s="9" t="s">
        <v>143</v>
      </c>
    </row>
    <row r="59" spans="1:10" ht="12" customHeight="1" x14ac:dyDescent="0.25">
      <c r="A59" s="22">
        <v>4</v>
      </c>
      <c r="B59" s="9" t="s">
        <v>144</v>
      </c>
    </row>
    <row r="60" spans="1:10" ht="24" customHeight="1" x14ac:dyDescent="0.25">
      <c r="A60" s="23" t="s">
        <v>145</v>
      </c>
      <c r="B60" s="235" t="s">
        <v>146</v>
      </c>
      <c r="C60" s="235"/>
      <c r="D60" s="235"/>
      <c r="E60" s="235"/>
      <c r="F60" s="235"/>
      <c r="G60" s="235"/>
      <c r="H60" s="235"/>
      <c r="I60" s="235"/>
      <c r="J60" s="235"/>
    </row>
    <row r="61" spans="1:10" ht="24" customHeight="1" x14ac:dyDescent="0.25">
      <c r="A61" s="23" t="s">
        <v>145</v>
      </c>
      <c r="B61" s="235" t="s">
        <v>147</v>
      </c>
      <c r="C61" s="235"/>
      <c r="D61" s="235"/>
      <c r="E61" s="235"/>
      <c r="F61" s="235"/>
      <c r="G61" s="235"/>
      <c r="H61" s="235"/>
      <c r="I61" s="235"/>
      <c r="J61" s="235"/>
    </row>
    <row r="62" spans="1:10" ht="12" customHeight="1" x14ac:dyDescent="0.25">
      <c r="A62" s="23" t="s">
        <v>145</v>
      </c>
      <c r="B62" s="233" t="s">
        <v>148</v>
      </c>
      <c r="C62" s="233"/>
      <c r="D62" s="233"/>
      <c r="E62" s="233"/>
      <c r="F62" s="233"/>
      <c r="G62" s="233"/>
      <c r="H62" s="233"/>
      <c r="I62" s="233"/>
      <c r="J62" s="233"/>
    </row>
    <row r="63" spans="1:10" ht="12" customHeight="1" x14ac:dyDescent="0.25">
      <c r="A63" s="22">
        <v>5</v>
      </c>
      <c r="B63" s="9" t="s">
        <v>149</v>
      </c>
    </row>
    <row r="64" spans="1:10" ht="12" customHeight="1" x14ac:dyDescent="0.25">
      <c r="A64" s="22">
        <v>6</v>
      </c>
      <c r="B64" s="9" t="s">
        <v>150</v>
      </c>
    </row>
    <row r="65" spans="1:10" ht="12" customHeight="1" x14ac:dyDescent="0.25">
      <c r="A65" s="22">
        <v>7</v>
      </c>
      <c r="B65" s="9" t="s">
        <v>151</v>
      </c>
    </row>
    <row r="66" spans="1:10" ht="12" customHeight="1" x14ac:dyDescent="0.25">
      <c r="A66" s="23" t="s">
        <v>145</v>
      </c>
      <c r="B66" s="235" t="s">
        <v>152</v>
      </c>
      <c r="C66" s="235"/>
      <c r="D66" s="235"/>
      <c r="E66" s="235"/>
      <c r="F66" s="235"/>
      <c r="G66" s="235"/>
      <c r="H66" s="235"/>
      <c r="I66" s="235"/>
      <c r="J66" s="235"/>
    </row>
    <row r="67" spans="1:10" ht="12" customHeight="1" x14ac:dyDescent="0.25">
      <c r="A67" s="23" t="s">
        <v>145</v>
      </c>
      <c r="B67" s="235" t="s">
        <v>153</v>
      </c>
      <c r="C67" s="235"/>
      <c r="D67" s="235"/>
      <c r="E67" s="235"/>
      <c r="F67" s="235"/>
      <c r="G67" s="235"/>
      <c r="H67" s="235"/>
      <c r="I67" s="235"/>
      <c r="J67" s="235"/>
    </row>
    <row r="68" spans="1:10" ht="12" customHeight="1" x14ac:dyDescent="0.25">
      <c r="A68" s="23" t="s">
        <v>145</v>
      </c>
      <c r="B68" s="235" t="s">
        <v>154</v>
      </c>
      <c r="C68" s="235"/>
      <c r="D68" s="235"/>
      <c r="E68" s="235"/>
      <c r="F68" s="235"/>
      <c r="G68" s="235"/>
      <c r="H68" s="235"/>
      <c r="I68" s="235"/>
      <c r="J68" s="235"/>
    </row>
    <row r="69" spans="1:10" ht="12" customHeight="1" x14ac:dyDescent="0.25">
      <c r="B69" s="24"/>
    </row>
    <row r="70" spans="1:10" ht="12" customHeight="1" x14ac:dyDescent="0.25"/>
    <row r="71" spans="1:10" ht="12" customHeight="1" x14ac:dyDescent="0.25"/>
  </sheetData>
  <mergeCells count="100">
    <mergeCell ref="D7:E7"/>
    <mergeCell ref="D8:E8"/>
    <mergeCell ref="B68:J68"/>
    <mergeCell ref="A48:D48"/>
    <mergeCell ref="E48:F48"/>
    <mergeCell ref="G48:J48"/>
    <mergeCell ref="A53:D53"/>
    <mergeCell ref="E53:F53"/>
    <mergeCell ref="G53:J53"/>
    <mergeCell ref="B60:J60"/>
    <mergeCell ref="B61:J61"/>
    <mergeCell ref="B62:J62"/>
    <mergeCell ref="B66:J66"/>
    <mergeCell ref="B67:J67"/>
    <mergeCell ref="A47:D47"/>
    <mergeCell ref="E47:F47"/>
    <mergeCell ref="G47:J47"/>
    <mergeCell ref="B39:D39"/>
    <mergeCell ref="F39:J41"/>
    <mergeCell ref="B40:D40"/>
    <mergeCell ref="B41:D41"/>
    <mergeCell ref="B42:D42"/>
    <mergeCell ref="F42:J42"/>
    <mergeCell ref="B43:D43"/>
    <mergeCell ref="F43:J43"/>
    <mergeCell ref="B44:D44"/>
    <mergeCell ref="F44:J44"/>
    <mergeCell ref="G46:J46"/>
    <mergeCell ref="A33:D33"/>
    <mergeCell ref="E33:F33"/>
    <mergeCell ref="G33:H33"/>
    <mergeCell ref="I33:J33"/>
    <mergeCell ref="B34:D34"/>
    <mergeCell ref="G34:H37"/>
    <mergeCell ref="I34:J37"/>
    <mergeCell ref="B35:D35"/>
    <mergeCell ref="B36:D36"/>
    <mergeCell ref="A37:D37"/>
    <mergeCell ref="A29:B29"/>
    <mergeCell ref="E29:G29"/>
    <mergeCell ref="I29:J29"/>
    <mergeCell ref="A30:J30"/>
    <mergeCell ref="A31:B31"/>
    <mergeCell ref="F31:G31"/>
    <mergeCell ref="I31:J31"/>
    <mergeCell ref="A27:B27"/>
    <mergeCell ref="F27:G27"/>
    <mergeCell ref="I27:J27"/>
    <mergeCell ref="A28:B28"/>
    <mergeCell ref="F28:G28"/>
    <mergeCell ref="I28:J28"/>
    <mergeCell ref="A24:J24"/>
    <mergeCell ref="A25:B25"/>
    <mergeCell ref="E25:G25"/>
    <mergeCell ref="I25:J25"/>
    <mergeCell ref="A26:B26"/>
    <mergeCell ref="E26:G26"/>
    <mergeCell ref="I26:J26"/>
    <mergeCell ref="A22:B22"/>
    <mergeCell ref="F22:G22"/>
    <mergeCell ref="I22:J22"/>
    <mergeCell ref="A23:B23"/>
    <mergeCell ref="F23:G23"/>
    <mergeCell ref="I23:J23"/>
    <mergeCell ref="A19:B19"/>
    <mergeCell ref="F19:G19"/>
    <mergeCell ref="I19:J19"/>
    <mergeCell ref="A20:J20"/>
    <mergeCell ref="A21:B21"/>
    <mergeCell ref="F21:G21"/>
    <mergeCell ref="I21:J21"/>
    <mergeCell ref="A17:B17"/>
    <mergeCell ref="F17:G17"/>
    <mergeCell ref="I17:J17"/>
    <mergeCell ref="A18:B18"/>
    <mergeCell ref="F18:G18"/>
    <mergeCell ref="I18:J18"/>
    <mergeCell ref="A14:J14"/>
    <mergeCell ref="A15:B15"/>
    <mergeCell ref="F15:G15"/>
    <mergeCell ref="I15:J15"/>
    <mergeCell ref="A16:B16"/>
    <mergeCell ref="F16:G16"/>
    <mergeCell ref="I16:J16"/>
    <mergeCell ref="A1:J1"/>
    <mergeCell ref="I3:J3"/>
    <mergeCell ref="I4:J4"/>
    <mergeCell ref="A12:B13"/>
    <mergeCell ref="C12:J12"/>
    <mergeCell ref="C13:D13"/>
    <mergeCell ref="E13:G13"/>
    <mergeCell ref="H13:J13"/>
    <mergeCell ref="I6:J6"/>
    <mergeCell ref="I7:J7"/>
    <mergeCell ref="D9:E9"/>
    <mergeCell ref="D10:E10"/>
    <mergeCell ref="D3:E3"/>
    <mergeCell ref="D4:E4"/>
    <mergeCell ref="D5:E5"/>
    <mergeCell ref="D6:E6"/>
  </mergeCells>
  <dataValidations count="1">
    <dataValidation type="list" allowBlank="1" showInputMessage="1" showErrorMessage="1" sqref="C15:C19 E15:E19 H15:H19 C21:C23 E21:E23 H21:H23 C25:C29 E27:E28 H25:H29 C31 E31 H31 A34:A36" xr:uid="{00000000-0002-0000-0100-000000000000}">
      <formula1>"1,0"</formula1>
    </dataValidation>
  </dataValidations>
  <pageMargins left="0.98425196850393704" right="0.78740157480314965" top="0.78740157480314965" bottom="0.78740157480314965" header="0.31496062992125984" footer="0.31496062992125984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6FD32CA-AAB0-C247-9E44-411DF47ABE6C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A34:A36</xm:sqref>
        </x14:conditionalFormatting>
        <x14:conditionalFormatting xmlns:xm="http://schemas.microsoft.com/office/excel/2006/main">
          <x14:cfRule type="iconSet" priority="16" id="{77BC4718-2F93-1948-AED8-7C944A4F85B9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C15:C19</xm:sqref>
        </x14:conditionalFormatting>
        <x14:conditionalFormatting xmlns:xm="http://schemas.microsoft.com/office/excel/2006/main">
          <x14:cfRule type="iconSet" priority="13" id="{629BE304-A517-BD46-BAB1-C1B533578CB4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C21:C23</xm:sqref>
        </x14:conditionalFormatting>
        <x14:conditionalFormatting xmlns:xm="http://schemas.microsoft.com/office/excel/2006/main">
          <x14:cfRule type="iconSet" priority="10" id="{8D37FB2D-3BCB-994F-A5FF-141B980EDD5A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C25:C26</xm:sqref>
        </x14:conditionalFormatting>
        <x14:conditionalFormatting xmlns:xm="http://schemas.microsoft.com/office/excel/2006/main">
          <x14:cfRule type="iconSet" priority="9" id="{E77707D3-0487-D24A-B198-F44E41C96B98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C27:C29</xm:sqref>
        </x14:conditionalFormatting>
        <x14:conditionalFormatting xmlns:xm="http://schemas.microsoft.com/office/excel/2006/main">
          <x14:cfRule type="iconSet" priority="6" id="{695905A2-58E0-0D4D-9DAB-8045E0B4857E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C31</xm:sqref>
        </x14:conditionalFormatting>
        <x14:conditionalFormatting xmlns:xm="http://schemas.microsoft.com/office/excel/2006/main">
          <x14:cfRule type="iconSet" priority="15" id="{6949590E-7A7B-5145-AD27-4CA28D7C6F65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E15:E19</xm:sqref>
        </x14:conditionalFormatting>
        <x14:conditionalFormatting xmlns:xm="http://schemas.microsoft.com/office/excel/2006/main">
          <x14:cfRule type="iconSet" priority="12" id="{4108BAA8-9C19-7E40-9A8A-D88CD219FE92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E21:E23</xm:sqref>
        </x14:conditionalFormatting>
        <x14:conditionalFormatting xmlns:xm="http://schemas.microsoft.com/office/excel/2006/main">
          <x14:cfRule type="iconSet" priority="8" id="{56A01434-9F5F-D64A-824A-29EA47A03FF8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E27:E28</xm:sqref>
        </x14:conditionalFormatting>
        <x14:conditionalFormatting xmlns:xm="http://schemas.microsoft.com/office/excel/2006/main">
          <x14:cfRule type="iconSet" priority="5" id="{53C85050-99E8-2848-98A3-849822A14B90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E31</xm:sqref>
        </x14:conditionalFormatting>
        <x14:conditionalFormatting xmlns:xm="http://schemas.microsoft.com/office/excel/2006/main">
          <x14:cfRule type="iconSet" priority="1" id="{586158B7-AEB5-234B-9A3B-7FCD0FAB62E7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E34:E37</xm:sqref>
        </x14:conditionalFormatting>
        <x14:conditionalFormatting xmlns:xm="http://schemas.microsoft.com/office/excel/2006/main">
          <x14:cfRule type="iconSet" priority="14" id="{5C4EE0EF-321F-F64C-B6E6-27EB7F4CF887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H15:H19</xm:sqref>
        </x14:conditionalFormatting>
        <x14:conditionalFormatting xmlns:xm="http://schemas.microsoft.com/office/excel/2006/main">
          <x14:cfRule type="iconSet" priority="11" id="{8684C4D3-EDFF-F949-8EDC-1A88CAE21EF3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H21:H23</xm:sqref>
        </x14:conditionalFormatting>
        <x14:conditionalFormatting xmlns:xm="http://schemas.microsoft.com/office/excel/2006/main">
          <x14:cfRule type="iconSet" priority="7" id="{1BFC13A5-BCB1-CB4F-B8FA-A83CEB5D5F25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H25:H29</xm:sqref>
        </x14:conditionalFormatting>
        <x14:conditionalFormatting xmlns:xm="http://schemas.microsoft.com/office/excel/2006/main">
          <x14:cfRule type="iconSet" priority="4" id="{76F155D5-755E-7C42-BEAA-FB03DFCEE1F0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H31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F12"/>
  <sheetViews>
    <sheetView workbookViewId="0">
      <selection activeCell="D4" sqref="D4"/>
    </sheetView>
  </sheetViews>
  <sheetFormatPr defaultRowHeight="15" x14ac:dyDescent="0.25"/>
  <cols>
    <col min="1" max="1" width="23.5703125" bestFit="1" customWidth="1"/>
    <col min="2" max="2" width="19" bestFit="1" customWidth="1"/>
    <col min="5" max="5" width="0" hidden="1" customWidth="1"/>
    <col min="6" max="6" width="9.140625" hidden="1" customWidth="1"/>
  </cols>
  <sheetData>
    <row r="1" spans="1:6" x14ac:dyDescent="0.25">
      <c r="A1" s="49" t="s">
        <v>200</v>
      </c>
      <c r="B1" s="49" t="s">
        <v>201</v>
      </c>
    </row>
    <row r="2" spans="1:6" x14ac:dyDescent="0.25">
      <c r="A2" s="33" t="s">
        <v>181</v>
      </c>
      <c r="B2" s="30" t="s">
        <v>219</v>
      </c>
      <c r="E2" t="s">
        <v>181</v>
      </c>
      <c r="F2" t="s">
        <v>182</v>
      </c>
    </row>
    <row r="3" spans="1:6" x14ac:dyDescent="0.25">
      <c r="A3" s="33" t="s">
        <v>26</v>
      </c>
      <c r="B3" s="50" t="s">
        <v>220</v>
      </c>
    </row>
    <row r="4" spans="1:6" x14ac:dyDescent="0.25">
      <c r="A4" s="33" t="s">
        <v>183</v>
      </c>
      <c r="B4" s="50" t="s">
        <v>221</v>
      </c>
      <c r="E4" t="s">
        <v>183</v>
      </c>
      <c r="F4" t="s">
        <v>184</v>
      </c>
    </row>
    <row r="5" spans="1:6" x14ac:dyDescent="0.25">
      <c r="A5" s="33" t="str">
        <f>"Nama "&amp;IF(A4="Desa","Kepala Desa","Lurah")</f>
        <v>Nama Kepala Desa</v>
      </c>
      <c r="B5" s="50" t="s">
        <v>222</v>
      </c>
    </row>
    <row r="6" spans="1:6" x14ac:dyDescent="0.25">
      <c r="A6" s="33" t="s">
        <v>196</v>
      </c>
      <c r="B6" s="51"/>
    </row>
    <row r="7" spans="1:6" x14ac:dyDescent="0.25">
      <c r="A7" s="33" t="str">
        <f>"Nama "&amp;IF(A2="Kabupaten","Korkab","Korkot")</f>
        <v>Nama Korkab</v>
      </c>
      <c r="B7" s="30" t="s">
        <v>213</v>
      </c>
    </row>
    <row r="8" spans="1:6" x14ac:dyDescent="0.25">
      <c r="A8" s="33" t="s">
        <v>178</v>
      </c>
      <c r="B8" s="50" t="s">
        <v>223</v>
      </c>
    </row>
    <row r="9" spans="1:6" x14ac:dyDescent="0.25">
      <c r="A9" s="33" t="s">
        <v>179</v>
      </c>
      <c r="B9" s="50" t="s">
        <v>224</v>
      </c>
    </row>
    <row r="11" spans="1:6" x14ac:dyDescent="0.25">
      <c r="A11" s="48" t="s">
        <v>199</v>
      </c>
    </row>
    <row r="12" spans="1:6" x14ac:dyDescent="0.25">
      <c r="A12" t="s">
        <v>202</v>
      </c>
    </row>
  </sheetData>
  <dataValidations count="1">
    <dataValidation type="list" allowBlank="1" showInputMessage="1" showErrorMessage="1" errorTitle="Pilih Salah Satu" error="Silahkan pilih &quot;Kabupaten&quot; atau &quot;Kota&quot;" sqref="A2" xr:uid="{00000000-0002-0000-0200-000000000000}">
      <formula1>$E$2:$F$2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8"/>
  <sheetViews>
    <sheetView showGridLines="0" view="pageBreakPreview" topLeftCell="A10" zoomScale="54" zoomScaleSheetLayoutView="54" workbookViewId="0">
      <selection activeCell="W24" sqref="W24:Y31"/>
    </sheetView>
  </sheetViews>
  <sheetFormatPr defaultColWidth="8.42578125" defaultRowHeight="14.25" customHeight="1" x14ac:dyDescent="0.25"/>
  <cols>
    <col min="1" max="1" width="4.28515625" style="135" customWidth="1"/>
    <col min="2" max="2" width="6.85546875" style="135" customWidth="1"/>
    <col min="3" max="3" width="28.42578125" style="135" customWidth="1"/>
    <col min="4" max="4" width="9" style="135" customWidth="1"/>
    <col min="5" max="6" width="25" style="148" customWidth="1"/>
    <col min="7" max="7" width="48.140625" style="149" customWidth="1"/>
    <col min="8" max="8" width="4" style="135" customWidth="1"/>
    <col min="9" max="13" width="4.140625" style="135" customWidth="1"/>
    <col min="14" max="14" width="15.42578125" style="135" customWidth="1"/>
    <col min="15" max="15" width="18.85546875" style="135" customWidth="1"/>
    <col min="16" max="16" width="44" style="135" customWidth="1"/>
    <col min="17" max="17" width="15" style="135" bestFit="1" customWidth="1"/>
    <col min="18" max="18" width="20.28515625" style="135" customWidth="1"/>
    <col min="19" max="19" width="18.42578125" style="135" customWidth="1"/>
    <col min="20" max="21" width="17.42578125" style="148" hidden="1" customWidth="1"/>
    <col min="22" max="22" width="29.85546875" style="135" customWidth="1"/>
    <col min="23" max="23" width="34" style="150" bestFit="1" customWidth="1"/>
    <col min="24" max="25" width="18.28515625" style="150" customWidth="1"/>
    <col min="26" max="29" width="8.42578125" style="135"/>
    <col min="30" max="30" width="8.42578125" style="135" hidden="1" customWidth="1"/>
    <col min="31" max="31" width="8.42578125" style="135" customWidth="1"/>
    <col min="32" max="16384" width="8.42578125" style="135"/>
  </cols>
  <sheetData>
    <row r="1" spans="1:34" s="70" customFormat="1" ht="14.25" customHeight="1" x14ac:dyDescent="0.25">
      <c r="E1" s="62"/>
      <c r="F1" s="62"/>
      <c r="G1" s="125"/>
      <c r="T1" s="62"/>
      <c r="U1" s="62"/>
      <c r="V1" s="126" t="s">
        <v>177</v>
      </c>
      <c r="W1" s="127"/>
      <c r="X1" s="127"/>
      <c r="Y1" s="127"/>
    </row>
    <row r="2" spans="1:34" s="70" customFormat="1" ht="14.25" customHeight="1" x14ac:dyDescent="0.25">
      <c r="E2" s="62"/>
      <c r="F2" s="62"/>
      <c r="G2" s="125"/>
      <c r="T2" s="62"/>
      <c r="U2" s="62"/>
      <c r="V2" s="126" t="s">
        <v>212</v>
      </c>
      <c r="W2" s="127"/>
      <c r="X2" s="127"/>
      <c r="Y2" s="127"/>
    </row>
    <row r="3" spans="1:34" s="70" customFormat="1" ht="14.25" customHeight="1" x14ac:dyDescent="0.25">
      <c r="A3" s="237" t="s">
        <v>25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127"/>
      <c r="X3" s="127"/>
      <c r="Y3" s="127"/>
      <c r="AD3" s="129"/>
    </row>
    <row r="4" spans="1:34" s="70" customFormat="1" ht="14.25" customHeight="1" x14ac:dyDescent="0.25">
      <c r="A4" s="245"/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127"/>
      <c r="X4" s="127"/>
      <c r="Y4" s="127"/>
    </row>
    <row r="5" spans="1:34" s="132" customFormat="1" ht="14.25" customHeight="1" x14ac:dyDescent="0.25">
      <c r="A5" s="130" t="str">
        <f>Source!A4</f>
        <v>Desa</v>
      </c>
      <c r="B5" s="130"/>
      <c r="C5" s="131"/>
      <c r="D5" s="242" t="str">
        <f>": "&amp;Source!B4</f>
        <v>: MEKARPAWITAN</v>
      </c>
      <c r="E5" s="242"/>
      <c r="F5" s="62"/>
      <c r="G5" s="125"/>
      <c r="H5" s="63"/>
      <c r="I5" s="63"/>
      <c r="K5" s="63"/>
      <c r="L5" s="63"/>
      <c r="M5" s="63"/>
      <c r="N5" s="63"/>
      <c r="O5" s="63"/>
      <c r="P5" s="63"/>
      <c r="Q5" s="63"/>
      <c r="R5" s="63"/>
      <c r="S5" s="63"/>
      <c r="T5" s="62"/>
      <c r="U5" s="62"/>
      <c r="V5" s="63"/>
      <c r="W5" s="133"/>
      <c r="X5" s="133"/>
      <c r="Y5" s="133"/>
    </row>
    <row r="6" spans="1:34" s="132" customFormat="1" ht="14.25" customHeight="1" x14ac:dyDescent="0.25">
      <c r="A6" s="130" t="str">
        <f>Source!A3</f>
        <v>Kecamatan</v>
      </c>
      <c r="B6" s="130"/>
      <c r="C6" s="131"/>
      <c r="D6" s="242" t="str">
        <f>": "&amp;Source!B3</f>
        <v>: PASEH</v>
      </c>
      <c r="E6" s="242"/>
      <c r="F6" s="62"/>
      <c r="G6" s="125"/>
      <c r="H6" s="63"/>
      <c r="I6" s="63"/>
      <c r="K6" s="63"/>
      <c r="L6" s="63"/>
      <c r="M6" s="63"/>
      <c r="N6" s="63"/>
      <c r="O6" s="63"/>
      <c r="P6" s="63"/>
      <c r="Q6" s="63"/>
      <c r="R6" s="63"/>
      <c r="S6" s="63"/>
      <c r="T6" s="62"/>
      <c r="U6" s="62"/>
      <c r="V6" s="63"/>
      <c r="W6" s="133"/>
      <c r="X6" s="133"/>
      <c r="Y6" s="133"/>
      <c r="AG6" s="134"/>
      <c r="AH6" s="134"/>
    </row>
    <row r="7" spans="1:34" s="132" customFormat="1" ht="14.25" customHeight="1" x14ac:dyDescent="0.25">
      <c r="A7" s="130" t="str">
        <f>Source!A2</f>
        <v>Kabupaten</v>
      </c>
      <c r="B7" s="130"/>
      <c r="C7" s="131"/>
      <c r="D7" s="242" t="str">
        <f>": "&amp;Source!B2</f>
        <v>: BANDUNG</v>
      </c>
      <c r="E7" s="242"/>
      <c r="F7" s="62"/>
      <c r="G7" s="125"/>
      <c r="H7" s="63"/>
      <c r="I7" s="63"/>
      <c r="K7" s="63"/>
      <c r="L7" s="63"/>
      <c r="M7" s="63"/>
      <c r="N7" s="63"/>
      <c r="O7" s="63"/>
      <c r="P7" s="63"/>
      <c r="Q7" s="63"/>
      <c r="R7" s="63"/>
      <c r="S7" s="63"/>
      <c r="T7" s="62"/>
      <c r="U7" s="62"/>
      <c r="V7" s="63"/>
      <c r="W7" s="133"/>
      <c r="X7" s="133"/>
      <c r="Y7" s="133"/>
    </row>
    <row r="8" spans="1:34" s="132" customFormat="1" ht="14.25" customHeight="1" x14ac:dyDescent="0.25">
      <c r="A8" s="130" t="s">
        <v>27</v>
      </c>
      <c r="B8" s="130"/>
      <c r="C8" s="131"/>
      <c r="D8" s="242" t="s">
        <v>197</v>
      </c>
      <c r="E8" s="242"/>
      <c r="F8" s="62"/>
      <c r="G8" s="125"/>
      <c r="H8" s="63"/>
      <c r="I8" s="63"/>
      <c r="K8" s="63"/>
      <c r="L8" s="63"/>
      <c r="M8" s="63"/>
      <c r="N8" s="63"/>
      <c r="O8" s="63"/>
      <c r="P8" s="63"/>
      <c r="Q8" s="63"/>
      <c r="R8" s="63"/>
      <c r="S8" s="63"/>
      <c r="T8" s="62"/>
      <c r="U8" s="62"/>
      <c r="V8" s="63"/>
      <c r="W8" s="244" t="s">
        <v>208</v>
      </c>
      <c r="X8" s="244"/>
      <c r="Y8" s="244"/>
    </row>
    <row r="10" spans="1:34" ht="27.95" customHeight="1" x14ac:dyDescent="0.25">
      <c r="A10" s="246" t="s">
        <v>43</v>
      </c>
      <c r="B10" s="248" t="s">
        <v>161</v>
      </c>
      <c r="C10" s="238" t="s">
        <v>0</v>
      </c>
      <c r="D10" s="248" t="s">
        <v>1</v>
      </c>
      <c r="E10" s="250" t="s">
        <v>28</v>
      </c>
      <c r="F10" s="238" t="s">
        <v>29</v>
      </c>
      <c r="G10" s="238" t="s">
        <v>2</v>
      </c>
      <c r="H10" s="240" t="s">
        <v>44</v>
      </c>
      <c r="I10" s="252"/>
      <c r="J10" s="252"/>
      <c r="K10" s="252"/>
      <c r="L10" s="252"/>
      <c r="M10" s="252"/>
      <c r="N10" s="238" t="s">
        <v>30</v>
      </c>
      <c r="O10" s="238"/>
      <c r="P10" s="238" t="s">
        <v>22</v>
      </c>
      <c r="Q10" s="240" t="s">
        <v>155</v>
      </c>
      <c r="R10" s="241"/>
      <c r="S10" s="80" t="s">
        <v>157</v>
      </c>
      <c r="T10" s="240" t="s">
        <v>171</v>
      </c>
      <c r="U10" s="241"/>
      <c r="V10" s="238" t="s">
        <v>23</v>
      </c>
      <c r="W10" s="238" t="s">
        <v>207</v>
      </c>
      <c r="X10" s="238" t="s">
        <v>166</v>
      </c>
      <c r="Y10" s="238" t="s">
        <v>211</v>
      </c>
    </row>
    <row r="11" spans="1:34" ht="46.5" customHeight="1" x14ac:dyDescent="0.25">
      <c r="A11" s="247"/>
      <c r="B11" s="249"/>
      <c r="C11" s="238"/>
      <c r="D11" s="249"/>
      <c r="E11" s="251"/>
      <c r="F11" s="238"/>
      <c r="G11" s="238"/>
      <c r="H11" s="82" t="s">
        <v>31</v>
      </c>
      <c r="I11" s="80" t="s">
        <v>32</v>
      </c>
      <c r="J11" s="80" t="s">
        <v>33</v>
      </c>
      <c r="K11" s="80" t="s">
        <v>34</v>
      </c>
      <c r="L11" s="80" t="s">
        <v>35</v>
      </c>
      <c r="M11" s="80" t="s">
        <v>36</v>
      </c>
      <c r="N11" s="80" t="s">
        <v>19</v>
      </c>
      <c r="O11" s="80" t="s">
        <v>24</v>
      </c>
      <c r="P11" s="238"/>
      <c r="Q11" s="80" t="s">
        <v>156</v>
      </c>
      <c r="R11" s="80" t="s">
        <v>159</v>
      </c>
      <c r="S11" s="80" t="s">
        <v>158</v>
      </c>
      <c r="T11" s="80" t="s">
        <v>173</v>
      </c>
      <c r="U11" s="80" t="s">
        <v>35</v>
      </c>
      <c r="V11" s="238"/>
      <c r="W11" s="238"/>
      <c r="X11" s="238"/>
      <c r="Y11" s="238"/>
    </row>
    <row r="12" spans="1:34" ht="15.95" customHeight="1" x14ac:dyDescent="0.25">
      <c r="A12" s="84">
        <v>1</v>
      </c>
      <c r="B12" s="85">
        <v>2</v>
      </c>
      <c r="C12" s="81">
        <v>3</v>
      </c>
      <c r="D12" s="83">
        <v>4</v>
      </c>
      <c r="E12" s="81">
        <v>5</v>
      </c>
      <c r="F12" s="80">
        <v>6</v>
      </c>
      <c r="G12" s="80">
        <v>7</v>
      </c>
      <c r="H12" s="82">
        <v>8</v>
      </c>
      <c r="I12" s="80">
        <v>9</v>
      </c>
      <c r="J12" s="80">
        <v>10</v>
      </c>
      <c r="K12" s="80">
        <v>11</v>
      </c>
      <c r="L12" s="80">
        <v>12</v>
      </c>
      <c r="M12" s="80">
        <v>13</v>
      </c>
      <c r="N12" s="80">
        <v>14</v>
      </c>
      <c r="O12" s="80">
        <v>15</v>
      </c>
      <c r="P12" s="80">
        <v>16</v>
      </c>
      <c r="Q12" s="80">
        <v>17</v>
      </c>
      <c r="R12" s="80">
        <v>18</v>
      </c>
      <c r="S12" s="80">
        <v>19</v>
      </c>
      <c r="T12" s="80">
        <v>20</v>
      </c>
      <c r="U12" s="80">
        <v>21</v>
      </c>
      <c r="V12" s="80">
        <v>20</v>
      </c>
      <c r="W12" s="80"/>
      <c r="X12" s="80"/>
      <c r="Y12" s="80"/>
      <c r="AA12" s="136"/>
      <c r="AB12" s="136"/>
      <c r="AC12" s="136"/>
    </row>
    <row r="13" spans="1:34" ht="24" customHeight="1" x14ac:dyDescent="0.25">
      <c r="A13" s="84">
        <v>1</v>
      </c>
      <c r="B13" s="86">
        <v>1</v>
      </c>
      <c r="C13" s="99" t="s">
        <v>225</v>
      </c>
      <c r="D13" s="87" t="s">
        <v>226</v>
      </c>
      <c r="E13" s="151" t="s">
        <v>227</v>
      </c>
      <c r="F13" s="151" t="s">
        <v>228</v>
      </c>
      <c r="G13" s="99" t="s">
        <v>229</v>
      </c>
      <c r="H13" s="88" t="s">
        <v>230</v>
      </c>
      <c r="I13" s="88" t="s">
        <v>230</v>
      </c>
      <c r="J13" s="88" t="s">
        <v>230</v>
      </c>
      <c r="K13" s="88" t="s">
        <v>230</v>
      </c>
      <c r="L13" s="88" t="s">
        <v>230</v>
      </c>
      <c r="M13" s="88" t="s">
        <v>230</v>
      </c>
      <c r="N13" s="84" t="s">
        <v>19</v>
      </c>
      <c r="O13" s="84"/>
      <c r="P13" s="89"/>
      <c r="Q13" s="90">
        <v>1200000</v>
      </c>
      <c r="R13" s="86"/>
      <c r="S13" s="86" t="s">
        <v>194</v>
      </c>
      <c r="T13" s="91"/>
      <c r="U13" s="91"/>
      <c r="V13" s="92"/>
      <c r="W13" s="93" t="s">
        <v>231</v>
      </c>
      <c r="X13" s="94" t="s">
        <v>232</v>
      </c>
      <c r="Y13" s="95" t="s">
        <v>233</v>
      </c>
      <c r="AA13" s="136"/>
      <c r="AB13" s="136"/>
      <c r="AC13" s="136"/>
      <c r="AD13" s="135" t="s">
        <v>19</v>
      </c>
    </row>
    <row r="14" spans="1:34" ht="24" customHeight="1" x14ac:dyDescent="0.25">
      <c r="A14" s="84">
        <v>2</v>
      </c>
      <c r="B14" s="86">
        <v>2</v>
      </c>
      <c r="C14" s="99" t="s">
        <v>234</v>
      </c>
      <c r="D14" s="87" t="s">
        <v>226</v>
      </c>
      <c r="E14" s="151" t="s">
        <v>235</v>
      </c>
      <c r="F14" s="151" t="s">
        <v>236</v>
      </c>
      <c r="G14" s="99" t="s">
        <v>237</v>
      </c>
      <c r="H14" s="88" t="s">
        <v>230</v>
      </c>
      <c r="I14" s="88" t="s">
        <v>230</v>
      </c>
      <c r="J14" s="88" t="s">
        <v>230</v>
      </c>
      <c r="K14" s="88" t="s">
        <v>230</v>
      </c>
      <c r="L14" s="88" t="s">
        <v>230</v>
      </c>
      <c r="M14" s="88" t="s">
        <v>230</v>
      </c>
      <c r="N14" s="84" t="s">
        <v>19</v>
      </c>
      <c r="O14" s="84"/>
      <c r="P14" s="89"/>
      <c r="Q14" s="90">
        <v>1200000</v>
      </c>
      <c r="R14" s="86"/>
      <c r="S14" s="86" t="s">
        <v>194</v>
      </c>
      <c r="T14" s="67"/>
      <c r="U14" s="67"/>
      <c r="V14" s="92"/>
      <c r="W14" s="93" t="s">
        <v>238</v>
      </c>
      <c r="X14" s="94" t="s">
        <v>239</v>
      </c>
      <c r="Y14" s="95" t="s">
        <v>233</v>
      </c>
      <c r="AA14" s="136"/>
      <c r="AB14" s="136"/>
      <c r="AC14" s="136"/>
      <c r="AD14" s="135" t="s">
        <v>176</v>
      </c>
    </row>
    <row r="15" spans="1:34" ht="24" customHeight="1" x14ac:dyDescent="0.25">
      <c r="A15" s="84">
        <v>3</v>
      </c>
      <c r="B15" s="86">
        <v>3</v>
      </c>
      <c r="C15" s="99" t="s">
        <v>240</v>
      </c>
      <c r="D15" s="87" t="s">
        <v>241</v>
      </c>
      <c r="E15" s="151" t="s">
        <v>242</v>
      </c>
      <c r="F15" s="151" t="s">
        <v>243</v>
      </c>
      <c r="G15" s="99" t="s">
        <v>244</v>
      </c>
      <c r="H15" s="88" t="s">
        <v>230</v>
      </c>
      <c r="I15" s="88" t="s">
        <v>230</v>
      </c>
      <c r="J15" s="88" t="s">
        <v>230</v>
      </c>
      <c r="K15" s="88" t="s">
        <v>230</v>
      </c>
      <c r="L15" s="88" t="s">
        <v>230</v>
      </c>
      <c r="M15" s="88" t="s">
        <v>230</v>
      </c>
      <c r="N15" s="84" t="s">
        <v>19</v>
      </c>
      <c r="O15" s="84"/>
      <c r="P15" s="89"/>
      <c r="Q15" s="90">
        <v>1000000</v>
      </c>
      <c r="R15" s="86"/>
      <c r="S15" s="86" t="s">
        <v>194</v>
      </c>
      <c r="T15" s="67"/>
      <c r="U15" s="67"/>
      <c r="V15" s="92"/>
      <c r="W15" s="93" t="s">
        <v>245</v>
      </c>
      <c r="X15" s="94" t="s">
        <v>246</v>
      </c>
      <c r="Y15" s="95" t="s">
        <v>233</v>
      </c>
      <c r="AA15" s="136"/>
      <c r="AB15" s="136"/>
      <c r="AC15" s="136"/>
    </row>
    <row r="16" spans="1:34" ht="24" customHeight="1" x14ac:dyDescent="0.25">
      <c r="A16" s="84">
        <v>4</v>
      </c>
      <c r="B16" s="86">
        <v>4</v>
      </c>
      <c r="C16" s="99" t="s">
        <v>247</v>
      </c>
      <c r="D16" s="87" t="s">
        <v>226</v>
      </c>
      <c r="E16" s="151" t="s">
        <v>248</v>
      </c>
      <c r="F16" s="151" t="s">
        <v>249</v>
      </c>
      <c r="G16" s="99" t="s">
        <v>250</v>
      </c>
      <c r="H16" s="88" t="s">
        <v>230</v>
      </c>
      <c r="I16" s="88" t="s">
        <v>230</v>
      </c>
      <c r="J16" s="88" t="s">
        <v>230</v>
      </c>
      <c r="K16" s="88" t="s">
        <v>230</v>
      </c>
      <c r="L16" s="88" t="s">
        <v>230</v>
      </c>
      <c r="M16" s="88" t="s">
        <v>230</v>
      </c>
      <c r="N16" s="84" t="s">
        <v>19</v>
      </c>
      <c r="O16" s="84"/>
      <c r="P16" s="89"/>
      <c r="Q16" s="90">
        <v>1250000</v>
      </c>
      <c r="R16" s="86"/>
      <c r="S16" s="86" t="s">
        <v>194</v>
      </c>
      <c r="T16" s="67"/>
      <c r="U16" s="67"/>
      <c r="V16" s="92"/>
      <c r="W16" s="93" t="s">
        <v>251</v>
      </c>
      <c r="X16" s="94" t="s">
        <v>252</v>
      </c>
      <c r="Y16" s="95" t="s">
        <v>233</v>
      </c>
      <c r="AA16" s="136"/>
      <c r="AB16" s="136"/>
      <c r="AC16" s="136"/>
      <c r="AD16" s="135" t="s">
        <v>193</v>
      </c>
    </row>
    <row r="17" spans="1:30" ht="24" customHeight="1" x14ac:dyDescent="0.25">
      <c r="A17" s="84">
        <v>5</v>
      </c>
      <c r="B17" s="86">
        <v>5</v>
      </c>
      <c r="C17" s="99" t="s">
        <v>253</v>
      </c>
      <c r="D17" s="87" t="s">
        <v>226</v>
      </c>
      <c r="E17" s="151" t="s">
        <v>254</v>
      </c>
      <c r="F17" s="151" t="s">
        <v>255</v>
      </c>
      <c r="G17" s="99" t="s">
        <v>229</v>
      </c>
      <c r="H17" s="88" t="s">
        <v>230</v>
      </c>
      <c r="I17" s="88" t="s">
        <v>230</v>
      </c>
      <c r="J17" s="88" t="s">
        <v>230</v>
      </c>
      <c r="K17" s="88" t="s">
        <v>230</v>
      </c>
      <c r="L17" s="88" t="s">
        <v>230</v>
      </c>
      <c r="M17" s="88" t="s">
        <v>230</v>
      </c>
      <c r="N17" s="84" t="s">
        <v>19</v>
      </c>
      <c r="O17" s="84"/>
      <c r="P17" s="89"/>
      <c r="Q17" s="90">
        <v>1500000</v>
      </c>
      <c r="R17" s="86"/>
      <c r="S17" s="86" t="s">
        <v>194</v>
      </c>
      <c r="T17" s="67"/>
      <c r="U17" s="67"/>
      <c r="V17" s="92"/>
      <c r="W17" s="93" t="s">
        <v>256</v>
      </c>
      <c r="X17" s="94" t="s">
        <v>257</v>
      </c>
      <c r="Y17" s="95" t="s">
        <v>233</v>
      </c>
      <c r="AA17" s="136"/>
      <c r="AB17" s="136"/>
      <c r="AC17" s="136"/>
      <c r="AD17" s="135" t="s">
        <v>194</v>
      </c>
    </row>
    <row r="18" spans="1:30" ht="24" customHeight="1" x14ac:dyDescent="0.25">
      <c r="A18" s="84">
        <v>6</v>
      </c>
      <c r="B18" s="86">
        <v>6</v>
      </c>
      <c r="C18" s="99" t="s">
        <v>258</v>
      </c>
      <c r="D18" s="87" t="s">
        <v>226</v>
      </c>
      <c r="E18" s="151" t="s">
        <v>259</v>
      </c>
      <c r="F18" s="151" t="s">
        <v>260</v>
      </c>
      <c r="G18" s="99" t="s">
        <v>261</v>
      </c>
      <c r="H18" s="88" t="s">
        <v>230</v>
      </c>
      <c r="I18" s="88" t="s">
        <v>230</v>
      </c>
      <c r="J18" s="88" t="s">
        <v>230</v>
      </c>
      <c r="K18" s="88" t="s">
        <v>230</v>
      </c>
      <c r="L18" s="88" t="s">
        <v>230</v>
      </c>
      <c r="M18" s="88" t="s">
        <v>230</v>
      </c>
      <c r="N18" s="84" t="s">
        <v>19</v>
      </c>
      <c r="O18" s="84"/>
      <c r="P18" s="89"/>
      <c r="Q18" s="90">
        <v>1200000</v>
      </c>
      <c r="R18" s="86"/>
      <c r="S18" s="86" t="s">
        <v>194</v>
      </c>
      <c r="T18" s="67"/>
      <c r="U18" s="67"/>
      <c r="V18" s="92"/>
      <c r="W18" s="93" t="s">
        <v>262</v>
      </c>
      <c r="X18" s="94" t="s">
        <v>263</v>
      </c>
      <c r="Y18" s="95" t="s">
        <v>233</v>
      </c>
      <c r="AA18" s="136"/>
      <c r="AB18" s="136"/>
      <c r="AC18" s="136"/>
      <c r="AD18" s="135" t="s">
        <v>195</v>
      </c>
    </row>
    <row r="19" spans="1:30" ht="24" customHeight="1" x14ac:dyDescent="0.25">
      <c r="A19" s="84">
        <v>7</v>
      </c>
      <c r="B19" s="86">
        <v>7</v>
      </c>
      <c r="C19" s="99" t="s">
        <v>264</v>
      </c>
      <c r="D19" s="87" t="s">
        <v>241</v>
      </c>
      <c r="E19" s="151" t="s">
        <v>265</v>
      </c>
      <c r="F19" s="151" t="s">
        <v>266</v>
      </c>
      <c r="G19" s="99" t="s">
        <v>267</v>
      </c>
      <c r="H19" s="88" t="s">
        <v>230</v>
      </c>
      <c r="I19" s="88" t="s">
        <v>230</v>
      </c>
      <c r="J19" s="88" t="s">
        <v>230</v>
      </c>
      <c r="K19" s="88" t="s">
        <v>230</v>
      </c>
      <c r="L19" s="88" t="s">
        <v>230</v>
      </c>
      <c r="M19" s="88" t="s">
        <v>230</v>
      </c>
      <c r="N19" s="84" t="s">
        <v>19</v>
      </c>
      <c r="O19" s="84"/>
      <c r="P19" s="89"/>
      <c r="Q19" s="90">
        <v>1200000</v>
      </c>
      <c r="R19" s="86"/>
      <c r="S19" s="86" t="s">
        <v>194</v>
      </c>
      <c r="T19" s="67"/>
      <c r="U19" s="67"/>
      <c r="V19" s="92"/>
      <c r="W19" s="93" t="s">
        <v>268</v>
      </c>
      <c r="X19" s="94" t="s">
        <v>269</v>
      </c>
      <c r="Y19" s="95" t="s">
        <v>233</v>
      </c>
      <c r="AA19" s="136"/>
      <c r="AB19" s="136"/>
      <c r="AC19" s="136"/>
    </row>
    <row r="20" spans="1:30" ht="24" customHeight="1" x14ac:dyDescent="0.25">
      <c r="A20" s="84">
        <v>8</v>
      </c>
      <c r="B20" s="86">
        <v>8</v>
      </c>
      <c r="C20" s="99" t="s">
        <v>270</v>
      </c>
      <c r="D20" s="87" t="s">
        <v>241</v>
      </c>
      <c r="E20" s="151" t="s">
        <v>271</v>
      </c>
      <c r="F20" s="151" t="s">
        <v>272</v>
      </c>
      <c r="G20" s="99" t="s">
        <v>273</v>
      </c>
      <c r="H20" s="88" t="s">
        <v>230</v>
      </c>
      <c r="I20" s="88" t="s">
        <v>230</v>
      </c>
      <c r="J20" s="88" t="s">
        <v>230</v>
      </c>
      <c r="K20" s="88" t="s">
        <v>230</v>
      </c>
      <c r="L20" s="88" t="s">
        <v>230</v>
      </c>
      <c r="M20" s="88" t="s">
        <v>230</v>
      </c>
      <c r="N20" s="84" t="s">
        <v>19</v>
      </c>
      <c r="O20" s="84"/>
      <c r="P20" s="89"/>
      <c r="Q20" s="90">
        <v>1000000</v>
      </c>
      <c r="R20" s="86"/>
      <c r="S20" s="86" t="s">
        <v>194</v>
      </c>
      <c r="T20" s="67"/>
      <c r="U20" s="67"/>
      <c r="V20" s="92"/>
      <c r="W20" s="96" t="s">
        <v>274</v>
      </c>
      <c r="X20" s="94" t="s">
        <v>275</v>
      </c>
      <c r="Y20" s="97" t="s">
        <v>233</v>
      </c>
      <c r="AA20" s="136"/>
      <c r="AB20" s="136"/>
      <c r="AC20" s="136"/>
    </row>
    <row r="21" spans="1:30" ht="24" customHeight="1" x14ac:dyDescent="0.25">
      <c r="A21" s="84">
        <v>9</v>
      </c>
      <c r="B21" s="86">
        <v>9</v>
      </c>
      <c r="C21" s="99" t="s">
        <v>276</v>
      </c>
      <c r="D21" s="87" t="s">
        <v>226</v>
      </c>
      <c r="E21" s="151" t="s">
        <v>277</v>
      </c>
      <c r="F21" s="151" t="s">
        <v>278</v>
      </c>
      <c r="G21" s="99" t="s">
        <v>279</v>
      </c>
      <c r="H21" s="88" t="s">
        <v>230</v>
      </c>
      <c r="I21" s="88" t="s">
        <v>230</v>
      </c>
      <c r="J21" s="88" t="s">
        <v>230</v>
      </c>
      <c r="K21" s="88" t="s">
        <v>230</v>
      </c>
      <c r="L21" s="88" t="s">
        <v>230</v>
      </c>
      <c r="M21" s="88" t="s">
        <v>230</v>
      </c>
      <c r="N21" s="84" t="s">
        <v>19</v>
      </c>
      <c r="O21" s="84"/>
      <c r="P21" s="89"/>
      <c r="Q21" s="90">
        <v>1000000</v>
      </c>
      <c r="R21" s="86"/>
      <c r="S21" s="86" t="s">
        <v>194</v>
      </c>
      <c r="T21" s="67"/>
      <c r="U21" s="67"/>
      <c r="V21" s="92"/>
      <c r="W21" s="93" t="s">
        <v>280</v>
      </c>
      <c r="X21" s="94" t="s">
        <v>281</v>
      </c>
      <c r="Y21" s="95" t="s">
        <v>233</v>
      </c>
      <c r="AA21" s="136"/>
      <c r="AB21" s="136"/>
      <c r="AC21" s="136"/>
    </row>
    <row r="22" spans="1:30" ht="24" customHeight="1" x14ac:dyDescent="0.25">
      <c r="A22" s="84">
        <v>10</v>
      </c>
      <c r="B22" s="86">
        <v>10</v>
      </c>
      <c r="C22" s="99" t="s">
        <v>282</v>
      </c>
      <c r="D22" s="87" t="s">
        <v>226</v>
      </c>
      <c r="E22" s="151" t="s">
        <v>283</v>
      </c>
      <c r="F22" s="151" t="s">
        <v>284</v>
      </c>
      <c r="G22" s="99" t="s">
        <v>244</v>
      </c>
      <c r="H22" s="88" t="s">
        <v>230</v>
      </c>
      <c r="I22" s="88" t="s">
        <v>230</v>
      </c>
      <c r="J22" s="88" t="s">
        <v>230</v>
      </c>
      <c r="K22" s="88" t="s">
        <v>230</v>
      </c>
      <c r="L22" s="88" t="s">
        <v>230</v>
      </c>
      <c r="M22" s="88" t="s">
        <v>230</v>
      </c>
      <c r="N22" s="84" t="s">
        <v>19</v>
      </c>
      <c r="O22" s="84"/>
      <c r="P22" s="89"/>
      <c r="Q22" s="90">
        <v>1200000</v>
      </c>
      <c r="R22" s="86" t="s">
        <v>285</v>
      </c>
      <c r="S22" s="86" t="s">
        <v>194</v>
      </c>
      <c r="T22" s="67"/>
      <c r="U22" s="67"/>
      <c r="V22" s="92"/>
      <c r="W22" s="96" t="s">
        <v>286</v>
      </c>
      <c r="X22" s="94" t="s">
        <v>287</v>
      </c>
      <c r="Y22" s="97" t="s">
        <v>233</v>
      </c>
      <c r="AA22" s="136"/>
      <c r="AB22" s="136"/>
      <c r="AC22" s="136"/>
    </row>
    <row r="23" spans="1:30" ht="24" customHeight="1" x14ac:dyDescent="0.25">
      <c r="A23" s="84">
        <v>11</v>
      </c>
      <c r="B23" s="86">
        <v>11</v>
      </c>
      <c r="C23" s="99" t="s">
        <v>288</v>
      </c>
      <c r="D23" s="87" t="s">
        <v>226</v>
      </c>
      <c r="E23" s="151" t="s">
        <v>289</v>
      </c>
      <c r="F23" s="151" t="s">
        <v>290</v>
      </c>
      <c r="G23" s="99" t="s">
        <v>291</v>
      </c>
      <c r="H23" s="88" t="s">
        <v>230</v>
      </c>
      <c r="I23" s="88" t="s">
        <v>230</v>
      </c>
      <c r="J23" s="88" t="s">
        <v>230</v>
      </c>
      <c r="K23" s="88" t="s">
        <v>230</v>
      </c>
      <c r="L23" s="88" t="s">
        <v>230</v>
      </c>
      <c r="M23" s="88" t="s">
        <v>230</v>
      </c>
      <c r="N23" s="84" t="s">
        <v>19</v>
      </c>
      <c r="O23" s="84"/>
      <c r="P23" s="89"/>
      <c r="Q23" s="90">
        <v>1000000</v>
      </c>
      <c r="R23" s="86"/>
      <c r="S23" s="86" t="s">
        <v>194</v>
      </c>
      <c r="T23" s="67"/>
      <c r="U23" s="67"/>
      <c r="V23" s="92"/>
      <c r="W23" s="93" t="s">
        <v>292</v>
      </c>
      <c r="X23" s="94" t="s">
        <v>293</v>
      </c>
      <c r="Y23" s="95" t="s">
        <v>233</v>
      </c>
      <c r="AA23" s="136"/>
      <c r="AB23" s="136"/>
      <c r="AC23" s="136"/>
    </row>
    <row r="24" spans="1:30" ht="24" customHeight="1" x14ac:dyDescent="0.25">
      <c r="A24" s="84">
        <v>12</v>
      </c>
      <c r="B24" s="86">
        <v>12</v>
      </c>
      <c r="C24" s="99" t="s">
        <v>294</v>
      </c>
      <c r="D24" s="87" t="s">
        <v>241</v>
      </c>
      <c r="E24" s="151" t="s">
        <v>295</v>
      </c>
      <c r="F24" s="151" t="s">
        <v>296</v>
      </c>
      <c r="G24" s="99" t="s">
        <v>297</v>
      </c>
      <c r="H24" s="88" t="s">
        <v>230</v>
      </c>
      <c r="I24" s="88" t="s">
        <v>230</v>
      </c>
      <c r="J24" s="88" t="s">
        <v>230</v>
      </c>
      <c r="K24" s="88" t="s">
        <v>230</v>
      </c>
      <c r="L24" s="88" t="s">
        <v>230</v>
      </c>
      <c r="M24" s="88" t="s">
        <v>230</v>
      </c>
      <c r="N24" s="84" t="s">
        <v>176</v>
      </c>
      <c r="O24" s="84"/>
      <c r="P24" s="89"/>
      <c r="Q24" s="90">
        <v>1200000</v>
      </c>
      <c r="R24" s="86"/>
      <c r="S24" s="86" t="s">
        <v>194</v>
      </c>
      <c r="T24" s="67"/>
      <c r="U24" s="67"/>
      <c r="V24" s="92"/>
      <c r="W24" s="93" t="s">
        <v>298</v>
      </c>
      <c r="X24" s="94" t="s">
        <v>299</v>
      </c>
      <c r="Y24" s="95" t="s">
        <v>233</v>
      </c>
      <c r="AA24" s="136"/>
      <c r="AB24" s="136"/>
      <c r="AC24" s="136"/>
    </row>
    <row r="25" spans="1:30" ht="24" customHeight="1" x14ac:dyDescent="0.25">
      <c r="A25" s="84">
        <v>13</v>
      </c>
      <c r="B25" s="86">
        <v>13</v>
      </c>
      <c r="C25" s="99" t="s">
        <v>300</v>
      </c>
      <c r="D25" s="87" t="s">
        <v>241</v>
      </c>
      <c r="E25" s="151" t="s">
        <v>301</v>
      </c>
      <c r="F25" s="151" t="s">
        <v>302</v>
      </c>
      <c r="G25" s="99" t="s">
        <v>303</v>
      </c>
      <c r="H25" s="88" t="s">
        <v>230</v>
      </c>
      <c r="I25" s="88" t="s">
        <v>230</v>
      </c>
      <c r="J25" s="88" t="s">
        <v>230</v>
      </c>
      <c r="K25" s="88" t="s">
        <v>230</v>
      </c>
      <c r="L25" s="88" t="s">
        <v>230</v>
      </c>
      <c r="M25" s="88" t="s">
        <v>230</v>
      </c>
      <c r="N25" s="84" t="s">
        <v>176</v>
      </c>
      <c r="O25" s="84"/>
      <c r="P25" s="89"/>
      <c r="Q25" s="90">
        <v>1500000</v>
      </c>
      <c r="R25" s="86"/>
      <c r="S25" s="86" t="s">
        <v>194</v>
      </c>
      <c r="T25" s="67"/>
      <c r="U25" s="67"/>
      <c r="V25" s="92"/>
      <c r="W25" s="93" t="s">
        <v>304</v>
      </c>
      <c r="X25" s="94" t="s">
        <v>305</v>
      </c>
      <c r="Y25" s="95" t="s">
        <v>233</v>
      </c>
      <c r="AA25" s="136"/>
      <c r="AB25" s="136"/>
      <c r="AC25" s="136"/>
    </row>
    <row r="26" spans="1:30" ht="24" customHeight="1" x14ac:dyDescent="0.25">
      <c r="A26" s="84">
        <v>14</v>
      </c>
      <c r="B26" s="86">
        <v>14</v>
      </c>
      <c r="C26" s="100" t="s">
        <v>306</v>
      </c>
      <c r="D26" s="87" t="s">
        <v>241</v>
      </c>
      <c r="E26" s="101" t="s">
        <v>307</v>
      </c>
      <c r="F26" s="101" t="s">
        <v>308</v>
      </c>
      <c r="G26" s="102" t="s">
        <v>309</v>
      </c>
      <c r="H26" s="88" t="s">
        <v>230</v>
      </c>
      <c r="I26" s="88" t="s">
        <v>230</v>
      </c>
      <c r="J26" s="88" t="s">
        <v>230</v>
      </c>
      <c r="K26" s="88" t="s">
        <v>230</v>
      </c>
      <c r="L26" s="88" t="s">
        <v>230</v>
      </c>
      <c r="M26" s="88" t="s">
        <v>230</v>
      </c>
      <c r="N26" s="84" t="s">
        <v>176</v>
      </c>
      <c r="O26" s="84"/>
      <c r="P26" s="89"/>
      <c r="Q26" s="90">
        <v>1000000</v>
      </c>
      <c r="R26" s="86"/>
      <c r="S26" s="86" t="s">
        <v>194</v>
      </c>
      <c r="T26" s="67"/>
      <c r="U26" s="67"/>
      <c r="V26" s="92"/>
      <c r="W26" s="93" t="s">
        <v>310</v>
      </c>
      <c r="X26" s="94" t="s">
        <v>311</v>
      </c>
      <c r="Y26" s="95" t="s">
        <v>233</v>
      </c>
      <c r="AA26" s="136"/>
      <c r="AB26" s="136"/>
      <c r="AC26" s="136"/>
    </row>
    <row r="27" spans="1:30" ht="24" customHeight="1" x14ac:dyDescent="0.25">
      <c r="A27" s="84">
        <v>15</v>
      </c>
      <c r="B27" s="86">
        <v>15</v>
      </c>
      <c r="C27" s="92" t="s">
        <v>312</v>
      </c>
      <c r="D27" s="87" t="s">
        <v>226</v>
      </c>
      <c r="E27" s="103" t="s">
        <v>313</v>
      </c>
      <c r="F27" s="103" t="s">
        <v>314</v>
      </c>
      <c r="G27" s="92" t="s">
        <v>309</v>
      </c>
      <c r="H27" s="88" t="s">
        <v>230</v>
      </c>
      <c r="I27" s="88" t="s">
        <v>230</v>
      </c>
      <c r="J27" s="88" t="s">
        <v>230</v>
      </c>
      <c r="K27" s="88" t="s">
        <v>230</v>
      </c>
      <c r="L27" s="88" t="s">
        <v>230</v>
      </c>
      <c r="M27" s="88" t="s">
        <v>230</v>
      </c>
      <c r="N27" s="84" t="s">
        <v>176</v>
      </c>
      <c r="O27" s="84"/>
      <c r="P27" s="89"/>
      <c r="Q27" s="90">
        <v>1200000</v>
      </c>
      <c r="R27" s="86"/>
      <c r="S27" s="86" t="s">
        <v>194</v>
      </c>
      <c r="T27" s="67"/>
      <c r="U27" s="67"/>
      <c r="V27" s="92"/>
      <c r="W27" s="93" t="s">
        <v>315</v>
      </c>
      <c r="X27" s="94" t="s">
        <v>316</v>
      </c>
      <c r="Y27" s="95" t="s">
        <v>233</v>
      </c>
      <c r="AA27" s="136"/>
      <c r="AB27" s="136"/>
      <c r="AC27" s="136"/>
    </row>
    <row r="28" spans="1:30" ht="24" customHeight="1" x14ac:dyDescent="0.25">
      <c r="A28" s="84">
        <v>16</v>
      </c>
      <c r="B28" s="86">
        <v>16</v>
      </c>
      <c r="C28" s="92" t="s">
        <v>317</v>
      </c>
      <c r="D28" s="87" t="s">
        <v>226</v>
      </c>
      <c r="E28" s="101" t="s">
        <v>318</v>
      </c>
      <c r="F28" s="101" t="s">
        <v>319</v>
      </c>
      <c r="G28" s="92" t="s">
        <v>320</v>
      </c>
      <c r="H28" s="88" t="s">
        <v>230</v>
      </c>
      <c r="I28" s="88" t="s">
        <v>230</v>
      </c>
      <c r="J28" s="88" t="s">
        <v>230</v>
      </c>
      <c r="K28" s="88" t="s">
        <v>230</v>
      </c>
      <c r="L28" s="88" t="s">
        <v>230</v>
      </c>
      <c r="M28" s="88" t="s">
        <v>230</v>
      </c>
      <c r="N28" s="84" t="s">
        <v>176</v>
      </c>
      <c r="O28" s="84"/>
      <c r="P28" s="89"/>
      <c r="Q28" s="90">
        <v>1000000</v>
      </c>
      <c r="R28" s="86"/>
      <c r="S28" s="86" t="s">
        <v>194</v>
      </c>
      <c r="T28" s="67"/>
      <c r="U28" s="67"/>
      <c r="V28" s="92"/>
      <c r="W28" s="93" t="s">
        <v>321</v>
      </c>
      <c r="X28" s="94" t="s">
        <v>322</v>
      </c>
      <c r="Y28" s="95" t="s">
        <v>233</v>
      </c>
      <c r="AA28" s="136"/>
      <c r="AB28" s="136"/>
      <c r="AC28" s="136"/>
    </row>
    <row r="29" spans="1:30" ht="24" customHeight="1" x14ac:dyDescent="0.25">
      <c r="A29" s="84">
        <v>17</v>
      </c>
      <c r="B29" s="86">
        <v>17</v>
      </c>
      <c r="C29" s="92" t="s">
        <v>323</v>
      </c>
      <c r="D29" s="87" t="s">
        <v>241</v>
      </c>
      <c r="E29" s="101" t="s">
        <v>324</v>
      </c>
      <c r="F29" s="101" t="s">
        <v>325</v>
      </c>
      <c r="G29" s="92" t="s">
        <v>326</v>
      </c>
      <c r="H29" s="88" t="s">
        <v>230</v>
      </c>
      <c r="I29" s="88" t="s">
        <v>230</v>
      </c>
      <c r="J29" s="88" t="s">
        <v>230</v>
      </c>
      <c r="K29" s="88" t="s">
        <v>230</v>
      </c>
      <c r="L29" s="88" t="s">
        <v>230</v>
      </c>
      <c r="M29" s="88" t="s">
        <v>230</v>
      </c>
      <c r="N29" s="84" t="s">
        <v>176</v>
      </c>
      <c r="O29" s="84"/>
      <c r="P29" s="89"/>
      <c r="Q29" s="90">
        <v>1200000</v>
      </c>
      <c r="R29" s="86"/>
      <c r="S29" s="86" t="s">
        <v>194</v>
      </c>
      <c r="T29" s="67"/>
      <c r="U29" s="67"/>
      <c r="V29" s="92"/>
      <c r="W29" s="93" t="s">
        <v>327</v>
      </c>
      <c r="X29" s="94" t="s">
        <v>328</v>
      </c>
      <c r="Y29" s="95" t="s">
        <v>233</v>
      </c>
      <c r="AA29" s="136"/>
      <c r="AB29" s="136"/>
      <c r="AC29" s="136"/>
    </row>
    <row r="30" spans="1:30" ht="24" customHeight="1" x14ac:dyDescent="0.25">
      <c r="A30" s="84">
        <v>18</v>
      </c>
      <c r="B30" s="86">
        <v>18</v>
      </c>
      <c r="C30" s="92" t="s">
        <v>329</v>
      </c>
      <c r="D30" s="87" t="s">
        <v>241</v>
      </c>
      <c r="E30" s="101" t="s">
        <v>330</v>
      </c>
      <c r="F30" s="101" t="s">
        <v>331</v>
      </c>
      <c r="G30" s="92" t="s">
        <v>332</v>
      </c>
      <c r="H30" s="88" t="s">
        <v>230</v>
      </c>
      <c r="I30" s="88" t="s">
        <v>230</v>
      </c>
      <c r="J30" s="88" t="s">
        <v>230</v>
      </c>
      <c r="K30" s="88" t="s">
        <v>230</v>
      </c>
      <c r="L30" s="88" t="s">
        <v>230</v>
      </c>
      <c r="M30" s="88" t="s">
        <v>230</v>
      </c>
      <c r="N30" s="84" t="s">
        <v>176</v>
      </c>
      <c r="O30" s="84"/>
      <c r="P30" s="89"/>
      <c r="Q30" s="90">
        <v>1000000</v>
      </c>
      <c r="R30" s="86"/>
      <c r="S30" s="86" t="s">
        <v>194</v>
      </c>
      <c r="T30" s="67"/>
      <c r="U30" s="67"/>
      <c r="V30" s="92"/>
      <c r="W30" s="93" t="s">
        <v>333</v>
      </c>
      <c r="X30" s="94" t="s">
        <v>334</v>
      </c>
      <c r="Y30" s="95" t="s">
        <v>233</v>
      </c>
      <c r="AA30" s="136"/>
      <c r="AB30" s="136"/>
      <c r="AC30" s="136"/>
    </row>
    <row r="31" spans="1:30" ht="24" customHeight="1" x14ac:dyDescent="0.25">
      <c r="A31" s="84">
        <v>19</v>
      </c>
      <c r="B31" s="86">
        <v>19</v>
      </c>
      <c r="C31" s="92" t="s">
        <v>335</v>
      </c>
      <c r="D31" s="87" t="s">
        <v>241</v>
      </c>
      <c r="E31" s="101" t="s">
        <v>336</v>
      </c>
      <c r="F31" s="101" t="s">
        <v>337</v>
      </c>
      <c r="G31" s="92" t="s">
        <v>338</v>
      </c>
      <c r="H31" s="88" t="s">
        <v>230</v>
      </c>
      <c r="I31" s="88" t="s">
        <v>230</v>
      </c>
      <c r="J31" s="88" t="s">
        <v>230</v>
      </c>
      <c r="K31" s="88" t="s">
        <v>230</v>
      </c>
      <c r="L31" s="88" t="s">
        <v>230</v>
      </c>
      <c r="M31" s="88" t="s">
        <v>230</v>
      </c>
      <c r="N31" s="84" t="s">
        <v>176</v>
      </c>
      <c r="O31" s="84"/>
      <c r="P31" s="89"/>
      <c r="Q31" s="90">
        <v>1000000</v>
      </c>
      <c r="R31" s="86"/>
      <c r="S31" s="86" t="s">
        <v>194</v>
      </c>
      <c r="T31" s="67"/>
      <c r="U31" s="67"/>
      <c r="V31" s="92"/>
      <c r="W31" s="93" t="s">
        <v>339</v>
      </c>
      <c r="X31" s="94" t="s">
        <v>340</v>
      </c>
      <c r="Y31" s="95" t="s">
        <v>233</v>
      </c>
      <c r="AA31" s="136"/>
      <c r="AB31" s="136"/>
      <c r="AC31" s="136"/>
    </row>
    <row r="32" spans="1:30" ht="24" customHeight="1" x14ac:dyDescent="0.25">
      <c r="A32" s="84">
        <v>20</v>
      </c>
      <c r="B32" s="86">
        <v>20</v>
      </c>
      <c r="C32" s="92" t="s">
        <v>341</v>
      </c>
      <c r="D32" s="87" t="s">
        <v>226</v>
      </c>
      <c r="E32" s="101" t="s">
        <v>342</v>
      </c>
      <c r="F32" s="101" t="s">
        <v>296</v>
      </c>
      <c r="G32" s="92" t="s">
        <v>297</v>
      </c>
      <c r="H32" s="88" t="s">
        <v>365</v>
      </c>
      <c r="I32" s="88" t="s">
        <v>365</v>
      </c>
      <c r="J32" s="88" t="s">
        <v>365</v>
      </c>
      <c r="K32" s="88" t="s">
        <v>365</v>
      </c>
      <c r="L32" s="88" t="s">
        <v>365</v>
      </c>
      <c r="M32" s="88" t="s">
        <v>365</v>
      </c>
      <c r="N32" s="84"/>
      <c r="O32" s="84" t="s">
        <v>24</v>
      </c>
      <c r="P32" s="89" t="s">
        <v>186</v>
      </c>
      <c r="Q32" s="90"/>
      <c r="R32" s="86"/>
      <c r="S32" s="86"/>
      <c r="T32" s="67"/>
      <c r="U32" s="67"/>
      <c r="V32" s="92"/>
      <c r="W32" s="93"/>
      <c r="X32" s="94"/>
      <c r="Y32" s="95"/>
      <c r="AA32" s="136"/>
      <c r="AB32" s="136"/>
      <c r="AC32" s="136"/>
    </row>
    <row r="33" spans="1:29" ht="24" customHeight="1" x14ac:dyDescent="0.25">
      <c r="A33" s="84">
        <v>21</v>
      </c>
      <c r="B33" s="86">
        <v>21</v>
      </c>
      <c r="C33" s="102" t="s">
        <v>343</v>
      </c>
      <c r="D33" s="87" t="s">
        <v>226</v>
      </c>
      <c r="E33" s="101" t="s">
        <v>344</v>
      </c>
      <c r="F33" s="151" t="s">
        <v>302</v>
      </c>
      <c r="G33" s="99" t="s">
        <v>303</v>
      </c>
      <c r="H33" s="88" t="s">
        <v>365</v>
      </c>
      <c r="I33" s="88" t="s">
        <v>365</v>
      </c>
      <c r="J33" s="88" t="s">
        <v>365</v>
      </c>
      <c r="K33" s="88" t="s">
        <v>365</v>
      </c>
      <c r="L33" s="88" t="s">
        <v>365</v>
      </c>
      <c r="M33" s="88" t="s">
        <v>365</v>
      </c>
      <c r="N33" s="84"/>
      <c r="O33" s="84" t="s">
        <v>24</v>
      </c>
      <c r="P33" s="89" t="s">
        <v>175</v>
      </c>
      <c r="Q33" s="90"/>
      <c r="R33" s="86"/>
      <c r="S33" s="86"/>
      <c r="T33" s="98"/>
      <c r="U33" s="98"/>
      <c r="V33" s="92" t="s">
        <v>345</v>
      </c>
      <c r="W33" s="93"/>
      <c r="X33" s="94"/>
      <c r="Y33" s="95"/>
      <c r="AA33" s="136"/>
      <c r="AB33" s="136"/>
      <c r="AC33" s="136"/>
    </row>
    <row r="34" spans="1:29" ht="24" customHeight="1" x14ac:dyDescent="0.25">
      <c r="A34" s="84">
        <v>22</v>
      </c>
      <c r="B34" s="86">
        <v>22</v>
      </c>
      <c r="C34" s="102" t="s">
        <v>346</v>
      </c>
      <c r="D34" s="87" t="s">
        <v>226</v>
      </c>
      <c r="E34" s="101" t="s">
        <v>347</v>
      </c>
      <c r="F34" s="101" t="s">
        <v>348</v>
      </c>
      <c r="G34" s="102" t="s">
        <v>349</v>
      </c>
      <c r="H34" s="88" t="s">
        <v>365</v>
      </c>
      <c r="I34" s="88" t="s">
        <v>365</v>
      </c>
      <c r="J34" s="88" t="s">
        <v>365</v>
      </c>
      <c r="K34" s="88" t="s">
        <v>365</v>
      </c>
      <c r="L34" s="88" t="s">
        <v>365</v>
      </c>
      <c r="M34" s="88" t="s">
        <v>365</v>
      </c>
      <c r="N34" s="84"/>
      <c r="O34" s="84" t="s">
        <v>24</v>
      </c>
      <c r="P34" s="89" t="s">
        <v>186</v>
      </c>
      <c r="Q34" s="90"/>
      <c r="R34" s="86"/>
      <c r="S34" s="86"/>
      <c r="T34" s="67"/>
      <c r="U34" s="67"/>
      <c r="V34" s="92"/>
      <c r="W34" s="93"/>
      <c r="X34" s="94"/>
      <c r="Y34" s="95"/>
      <c r="AA34" s="136"/>
      <c r="AB34" s="136"/>
      <c r="AC34" s="136"/>
    </row>
    <row r="35" spans="1:29" ht="24" customHeight="1" x14ac:dyDescent="0.25">
      <c r="A35" s="84">
        <v>23</v>
      </c>
      <c r="B35" s="86">
        <v>23</v>
      </c>
      <c r="C35" s="102" t="s">
        <v>350</v>
      </c>
      <c r="D35" s="87" t="s">
        <v>226</v>
      </c>
      <c r="E35" s="101" t="s">
        <v>351</v>
      </c>
      <c r="F35" s="101" t="s">
        <v>352</v>
      </c>
      <c r="G35" s="102" t="s">
        <v>353</v>
      </c>
      <c r="H35" s="88" t="s">
        <v>365</v>
      </c>
      <c r="I35" s="88" t="s">
        <v>365</v>
      </c>
      <c r="J35" s="88" t="s">
        <v>365</v>
      </c>
      <c r="K35" s="88" t="s">
        <v>365</v>
      </c>
      <c r="L35" s="88" t="s">
        <v>365</v>
      </c>
      <c r="M35" s="88" t="s">
        <v>365</v>
      </c>
      <c r="N35" s="84"/>
      <c r="O35" s="84" t="s">
        <v>24</v>
      </c>
      <c r="P35" s="89" t="s">
        <v>217</v>
      </c>
      <c r="Q35" s="90"/>
      <c r="R35" s="86"/>
      <c r="S35" s="86"/>
      <c r="T35" s="98"/>
      <c r="U35" s="98"/>
      <c r="V35" s="92"/>
      <c r="W35" s="96"/>
      <c r="X35" s="94"/>
      <c r="Y35" s="97"/>
      <c r="AA35" s="136"/>
      <c r="AB35" s="136"/>
      <c r="AC35" s="136"/>
    </row>
    <row r="36" spans="1:29" ht="24" customHeight="1" x14ac:dyDescent="0.25">
      <c r="A36" s="84">
        <v>24</v>
      </c>
      <c r="B36" s="86">
        <v>24</v>
      </c>
      <c r="C36" s="102" t="s">
        <v>354</v>
      </c>
      <c r="D36" s="87" t="s">
        <v>226</v>
      </c>
      <c r="E36" s="101" t="s">
        <v>355</v>
      </c>
      <c r="F36" s="101" t="s">
        <v>356</v>
      </c>
      <c r="G36" s="102" t="s">
        <v>320</v>
      </c>
      <c r="H36" s="88" t="s">
        <v>365</v>
      </c>
      <c r="I36" s="88" t="s">
        <v>365</v>
      </c>
      <c r="J36" s="88" t="s">
        <v>365</v>
      </c>
      <c r="K36" s="88" t="s">
        <v>365</v>
      </c>
      <c r="L36" s="88" t="s">
        <v>365</v>
      </c>
      <c r="M36" s="88" t="s">
        <v>365</v>
      </c>
      <c r="N36" s="84"/>
      <c r="O36" s="84" t="s">
        <v>24</v>
      </c>
      <c r="P36" s="89" t="s">
        <v>186</v>
      </c>
      <c r="Q36" s="90"/>
      <c r="R36" s="86"/>
      <c r="S36" s="86"/>
      <c r="T36" s="67"/>
      <c r="U36" s="67"/>
      <c r="V36" s="92"/>
      <c r="W36" s="93"/>
      <c r="X36" s="94"/>
      <c r="Y36" s="97"/>
      <c r="AA36" s="136"/>
      <c r="AB36" s="136"/>
      <c r="AC36" s="136"/>
    </row>
    <row r="37" spans="1:29" ht="24" customHeight="1" x14ac:dyDescent="0.25">
      <c r="A37" s="84">
        <v>25</v>
      </c>
      <c r="B37" s="86">
        <v>25</v>
      </c>
      <c r="C37" s="102" t="s">
        <v>357</v>
      </c>
      <c r="D37" s="87" t="s">
        <v>226</v>
      </c>
      <c r="E37" s="101" t="s">
        <v>358</v>
      </c>
      <c r="F37" s="101" t="s">
        <v>325</v>
      </c>
      <c r="G37" s="92" t="s">
        <v>326</v>
      </c>
      <c r="H37" s="88" t="s">
        <v>365</v>
      </c>
      <c r="I37" s="88" t="s">
        <v>365</v>
      </c>
      <c r="J37" s="88" t="s">
        <v>365</v>
      </c>
      <c r="K37" s="88" t="s">
        <v>365</v>
      </c>
      <c r="L37" s="88" t="s">
        <v>365</v>
      </c>
      <c r="M37" s="88" t="s">
        <v>365</v>
      </c>
      <c r="N37" s="84"/>
      <c r="O37" s="84" t="s">
        <v>24</v>
      </c>
      <c r="P37" s="89" t="s">
        <v>175</v>
      </c>
      <c r="Q37" s="90"/>
      <c r="R37" s="86"/>
      <c r="S37" s="86"/>
      <c r="T37" s="67"/>
      <c r="U37" s="67"/>
      <c r="V37" s="92" t="s">
        <v>345</v>
      </c>
      <c r="W37" s="93"/>
      <c r="X37" s="94"/>
      <c r="Y37" s="95"/>
      <c r="AA37" s="136"/>
      <c r="AB37" s="136"/>
      <c r="AC37" s="136"/>
    </row>
    <row r="38" spans="1:29" ht="24" customHeight="1" x14ac:dyDescent="0.25">
      <c r="A38" s="84">
        <v>26</v>
      </c>
      <c r="B38" s="86">
        <v>26</v>
      </c>
      <c r="C38" s="102" t="s">
        <v>359</v>
      </c>
      <c r="D38" s="87" t="s">
        <v>226</v>
      </c>
      <c r="E38" s="101" t="s">
        <v>360</v>
      </c>
      <c r="F38" s="101" t="s">
        <v>361</v>
      </c>
      <c r="G38" s="102" t="s">
        <v>362</v>
      </c>
      <c r="H38" s="88" t="s">
        <v>365</v>
      </c>
      <c r="I38" s="88" t="s">
        <v>365</v>
      </c>
      <c r="J38" s="88" t="s">
        <v>365</v>
      </c>
      <c r="K38" s="88" t="s">
        <v>365</v>
      </c>
      <c r="L38" s="88" t="s">
        <v>365</v>
      </c>
      <c r="M38" s="88" t="s">
        <v>365</v>
      </c>
      <c r="N38" s="84"/>
      <c r="O38" s="84" t="s">
        <v>24</v>
      </c>
      <c r="P38" s="89" t="s">
        <v>174</v>
      </c>
      <c r="Q38" s="90"/>
      <c r="R38" s="86"/>
      <c r="S38" s="86"/>
      <c r="T38" s="67"/>
      <c r="U38" s="67"/>
      <c r="V38" s="92"/>
      <c r="W38" s="93"/>
      <c r="X38" s="94"/>
      <c r="Y38" s="95"/>
      <c r="AA38" s="136"/>
      <c r="AB38" s="136"/>
      <c r="AC38" s="136"/>
    </row>
    <row r="39" spans="1:29" ht="24" customHeight="1" x14ac:dyDescent="0.25">
      <c r="A39" s="84">
        <v>27</v>
      </c>
      <c r="B39" s="86">
        <v>27</v>
      </c>
      <c r="C39" s="102" t="s">
        <v>340</v>
      </c>
      <c r="D39" s="87" t="s">
        <v>241</v>
      </c>
      <c r="E39" s="101" t="s">
        <v>363</v>
      </c>
      <c r="F39" s="101" t="s">
        <v>364</v>
      </c>
      <c r="G39" s="102" t="s">
        <v>338</v>
      </c>
      <c r="H39" s="88" t="s">
        <v>365</v>
      </c>
      <c r="I39" s="88" t="s">
        <v>365</v>
      </c>
      <c r="J39" s="88" t="s">
        <v>365</v>
      </c>
      <c r="K39" s="88" t="s">
        <v>365</v>
      </c>
      <c r="L39" s="88" t="s">
        <v>365</v>
      </c>
      <c r="M39" s="88" t="s">
        <v>365</v>
      </c>
      <c r="N39" s="84"/>
      <c r="O39" s="84" t="s">
        <v>24</v>
      </c>
      <c r="P39" s="89" t="s">
        <v>174</v>
      </c>
      <c r="Q39" s="90"/>
      <c r="R39" s="86"/>
      <c r="S39" s="86"/>
      <c r="T39" s="67"/>
      <c r="U39" s="67"/>
      <c r="V39" s="92"/>
      <c r="W39" s="93"/>
      <c r="X39" s="94"/>
      <c r="Y39" s="95"/>
      <c r="AA39" s="136"/>
      <c r="AB39" s="136"/>
      <c r="AC39" s="136"/>
    </row>
    <row r="40" spans="1:29" s="70" customFormat="1" ht="9.75" customHeight="1" x14ac:dyDescent="0.25">
      <c r="A40" s="62"/>
      <c r="B40" s="62"/>
      <c r="C40" s="137"/>
      <c r="D40" s="62"/>
      <c r="E40" s="62"/>
      <c r="F40" s="62"/>
      <c r="G40" s="125"/>
      <c r="H40" s="62"/>
      <c r="I40" s="62"/>
      <c r="J40" s="62"/>
      <c r="K40" s="68"/>
      <c r="L40" s="68"/>
      <c r="M40" s="68"/>
      <c r="N40" s="68"/>
      <c r="O40" s="68"/>
      <c r="P40" s="68"/>
      <c r="Q40" s="68"/>
      <c r="R40" s="68"/>
      <c r="S40" s="68"/>
      <c r="T40" s="138"/>
      <c r="U40" s="138"/>
      <c r="V40" s="68"/>
      <c r="W40" s="139"/>
      <c r="X40" s="139"/>
      <c r="Y40" s="139"/>
    </row>
    <row r="41" spans="1:29" s="70" customFormat="1" ht="11.25" customHeight="1" x14ac:dyDescent="0.25">
      <c r="A41" s="70" t="s">
        <v>45</v>
      </c>
      <c r="E41" s="62"/>
      <c r="F41" s="62"/>
      <c r="G41" s="125"/>
      <c r="T41" s="62"/>
      <c r="U41" s="62"/>
      <c r="W41" s="127"/>
      <c r="X41" s="127"/>
      <c r="Y41" s="127"/>
    </row>
    <row r="42" spans="1:29" s="70" customFormat="1" ht="12" customHeight="1" x14ac:dyDescent="0.25">
      <c r="A42" s="243" t="s">
        <v>46</v>
      </c>
      <c r="B42" s="243"/>
      <c r="C42" s="243"/>
      <c r="D42" s="243"/>
      <c r="E42" s="243"/>
      <c r="F42" s="243"/>
      <c r="G42" s="125"/>
      <c r="L42" s="242" t="s">
        <v>160</v>
      </c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69"/>
      <c r="X42" s="69"/>
      <c r="Y42" s="69"/>
    </row>
    <row r="43" spans="1:29" s="70" customFormat="1" ht="12" customHeight="1" x14ac:dyDescent="0.25">
      <c r="B43" s="127" t="s">
        <v>162</v>
      </c>
      <c r="E43" s="62"/>
      <c r="F43" s="62"/>
      <c r="G43" s="125"/>
      <c r="L43" s="70" t="s">
        <v>185</v>
      </c>
      <c r="M43" s="141"/>
      <c r="T43" s="62"/>
      <c r="U43" s="62"/>
      <c r="W43" s="127"/>
      <c r="X43" s="127"/>
      <c r="Y43" s="127"/>
    </row>
    <row r="44" spans="1:29" s="70" customFormat="1" ht="12" customHeight="1" x14ac:dyDescent="0.25">
      <c r="B44" s="127" t="s">
        <v>163</v>
      </c>
      <c r="E44" s="62"/>
      <c r="F44" s="62"/>
      <c r="G44" s="125"/>
      <c r="L44" s="70" t="s">
        <v>186</v>
      </c>
      <c r="M44" s="141"/>
      <c r="T44" s="62"/>
      <c r="U44" s="62"/>
      <c r="W44" s="127"/>
      <c r="X44" s="127"/>
      <c r="Y44" s="127"/>
    </row>
    <row r="45" spans="1:29" s="70" customFormat="1" ht="12" customHeight="1" x14ac:dyDescent="0.25">
      <c r="B45" s="243" t="s">
        <v>214</v>
      </c>
      <c r="C45" s="243"/>
      <c r="D45" s="243"/>
      <c r="E45" s="243"/>
      <c r="F45" s="243"/>
      <c r="G45" s="243"/>
      <c r="H45" s="243"/>
      <c r="I45" s="243"/>
      <c r="L45" s="70" t="s">
        <v>174</v>
      </c>
      <c r="M45" s="141"/>
      <c r="T45" s="62"/>
      <c r="U45" s="62"/>
      <c r="W45" s="127"/>
      <c r="X45" s="127"/>
      <c r="Y45" s="127"/>
    </row>
    <row r="46" spans="1:29" s="70" customFormat="1" ht="12" customHeight="1" x14ac:dyDescent="0.25">
      <c r="B46" s="243" t="s">
        <v>215</v>
      </c>
      <c r="C46" s="243"/>
      <c r="D46" s="243"/>
      <c r="E46" s="243"/>
      <c r="F46" s="243"/>
      <c r="G46" s="243"/>
      <c r="H46" s="243"/>
      <c r="I46" s="243"/>
      <c r="J46" s="140"/>
      <c r="L46" s="70" t="s">
        <v>187</v>
      </c>
      <c r="M46" s="141"/>
      <c r="T46" s="62"/>
      <c r="U46" s="62"/>
      <c r="W46" s="127"/>
      <c r="X46" s="127"/>
      <c r="Y46" s="127"/>
    </row>
    <row r="47" spans="1:29" s="70" customFormat="1" ht="12" customHeight="1" x14ac:dyDescent="0.25">
      <c r="B47" s="243" t="s">
        <v>216</v>
      </c>
      <c r="C47" s="243"/>
      <c r="D47" s="243"/>
      <c r="E47" s="243"/>
      <c r="F47" s="243"/>
      <c r="G47" s="243"/>
      <c r="H47" s="243"/>
      <c r="I47" s="243"/>
      <c r="J47" s="243"/>
      <c r="L47" s="70" t="s">
        <v>217</v>
      </c>
      <c r="M47" s="141"/>
      <c r="T47" s="62"/>
      <c r="U47" s="62"/>
      <c r="W47" s="127"/>
      <c r="X47" s="127"/>
      <c r="Y47" s="127"/>
    </row>
    <row r="48" spans="1:29" s="70" customFormat="1" ht="12" customHeight="1" x14ac:dyDescent="0.25">
      <c r="B48" s="133" t="s">
        <v>164</v>
      </c>
      <c r="E48" s="62"/>
      <c r="F48" s="62"/>
      <c r="G48" s="125"/>
      <c r="L48" s="70" t="s">
        <v>218</v>
      </c>
      <c r="M48" s="141"/>
      <c r="T48" s="62"/>
      <c r="U48" s="62"/>
      <c r="W48" s="127"/>
      <c r="X48" s="127"/>
      <c r="Y48" s="127"/>
    </row>
    <row r="49" spans="2:25" s="70" customFormat="1" ht="12" customHeight="1" x14ac:dyDescent="0.25">
      <c r="B49" s="127"/>
      <c r="E49" s="62"/>
      <c r="F49" s="62"/>
      <c r="G49" s="125"/>
      <c r="L49" s="70" t="s">
        <v>190</v>
      </c>
      <c r="M49" s="141"/>
      <c r="T49" s="62"/>
      <c r="U49" s="62"/>
      <c r="W49" s="127"/>
      <c r="X49" s="127"/>
      <c r="Y49" s="127"/>
    </row>
    <row r="50" spans="2:25" s="70" customFormat="1" ht="12" customHeight="1" x14ac:dyDescent="0.25">
      <c r="E50" s="62"/>
      <c r="F50" s="62"/>
      <c r="G50" s="125"/>
      <c r="L50" s="70" t="s">
        <v>191</v>
      </c>
      <c r="M50" s="141"/>
      <c r="T50" s="62"/>
      <c r="U50" s="62"/>
      <c r="W50" s="127"/>
      <c r="X50" s="127"/>
      <c r="Y50" s="127"/>
    </row>
    <row r="51" spans="2:25" s="70" customFormat="1" ht="12" customHeight="1" x14ac:dyDescent="0.25">
      <c r="E51" s="62"/>
      <c r="F51" s="62"/>
      <c r="G51" s="125"/>
      <c r="L51" s="70" t="s">
        <v>175</v>
      </c>
      <c r="T51" s="62"/>
      <c r="U51" s="62"/>
      <c r="W51" s="127"/>
      <c r="X51" s="127"/>
      <c r="Y51" s="127"/>
    </row>
    <row r="52" spans="2:25" s="70" customFormat="1" ht="14.25" customHeight="1" x14ac:dyDescent="0.25">
      <c r="E52" s="62"/>
      <c r="F52" s="62"/>
      <c r="G52" s="125"/>
      <c r="K52" s="242" t="s">
        <v>48</v>
      </c>
      <c r="L52" s="242"/>
      <c r="M52" s="242"/>
      <c r="N52" s="242"/>
      <c r="O52" s="242"/>
      <c r="P52" s="242"/>
      <c r="Q52" s="242"/>
      <c r="R52" s="242"/>
      <c r="S52" s="242"/>
      <c r="T52" s="142"/>
      <c r="U52" s="142"/>
      <c r="W52" s="127"/>
      <c r="X52" s="127"/>
      <c r="Y52" s="127"/>
    </row>
    <row r="53" spans="2:25" s="70" customFormat="1" ht="11.25" customHeight="1" x14ac:dyDescent="0.25">
      <c r="E53" s="62"/>
      <c r="F53" s="62"/>
      <c r="G53" s="125"/>
      <c r="T53" s="62"/>
      <c r="U53" s="62"/>
      <c r="W53" s="127"/>
      <c r="X53" s="127"/>
      <c r="Y53" s="127"/>
    </row>
    <row r="54" spans="2:25" s="70" customFormat="1" ht="6.75" customHeight="1" x14ac:dyDescent="0.25">
      <c r="E54" s="62"/>
      <c r="F54" s="62"/>
      <c r="G54" s="125"/>
      <c r="T54" s="62"/>
      <c r="U54" s="62"/>
      <c r="W54" s="127"/>
      <c r="X54" s="127"/>
      <c r="Y54" s="127"/>
    </row>
    <row r="55" spans="2:25" s="143" customFormat="1" ht="16.5" customHeight="1" x14ac:dyDescent="0.25">
      <c r="C55" s="237" t="s">
        <v>198</v>
      </c>
      <c r="D55" s="237"/>
      <c r="E55" s="237"/>
      <c r="F55" s="128"/>
      <c r="G55" s="237" t="s">
        <v>167</v>
      </c>
      <c r="H55" s="237"/>
      <c r="I55" s="237"/>
      <c r="O55" s="237" t="s">
        <v>168</v>
      </c>
      <c r="P55" s="237"/>
      <c r="Q55" s="237" t="s">
        <v>169</v>
      </c>
      <c r="R55" s="237"/>
      <c r="S55" s="237"/>
      <c r="T55" s="237"/>
      <c r="U55" s="237"/>
      <c r="V55" s="237"/>
      <c r="W55" s="144"/>
      <c r="X55" s="144"/>
      <c r="Y55" s="144"/>
    </row>
    <row r="56" spans="2:25" s="143" customFormat="1" ht="11.25" customHeight="1" x14ac:dyDescent="0.25">
      <c r="E56" s="128"/>
      <c r="I56" s="237"/>
      <c r="J56" s="237"/>
      <c r="K56" s="237"/>
      <c r="L56" s="237"/>
      <c r="M56" s="237"/>
      <c r="N56" s="237"/>
      <c r="W56" s="144"/>
      <c r="X56" s="144"/>
      <c r="Y56" s="144"/>
    </row>
    <row r="57" spans="2:25" s="143" customFormat="1" ht="24" customHeight="1" x14ac:dyDescent="0.25">
      <c r="C57" s="237" t="s">
        <v>203</v>
      </c>
      <c r="D57" s="237"/>
      <c r="E57" s="237"/>
      <c r="F57" s="128"/>
      <c r="G57" s="237" t="s">
        <v>192</v>
      </c>
      <c r="H57" s="237"/>
      <c r="I57" s="237"/>
      <c r="O57" s="237" t="str">
        <f>IF(A5="Desa","Kepala Desa","Lurah")</f>
        <v>Kepala Desa</v>
      </c>
      <c r="P57" s="237"/>
      <c r="Q57" s="237" t="s">
        <v>170</v>
      </c>
      <c r="R57" s="237"/>
      <c r="S57" s="237"/>
      <c r="T57" s="237"/>
      <c r="U57" s="237"/>
      <c r="V57" s="237"/>
      <c r="W57" s="144"/>
      <c r="X57" s="144"/>
      <c r="Y57" s="144"/>
    </row>
    <row r="58" spans="2:25" s="143" customFormat="1" ht="11.25" customHeight="1" x14ac:dyDescent="0.25">
      <c r="C58" s="128"/>
      <c r="D58" s="145"/>
      <c r="F58" s="128"/>
      <c r="G58" s="237" t="str">
        <f>Source!A2&amp;" "&amp;PROPER(Source!B2)</f>
        <v>Kabupaten Bandung</v>
      </c>
      <c r="H58" s="237"/>
      <c r="I58" s="237"/>
      <c r="O58" s="237" t="str">
        <f>PROPER(Source!B4)</f>
        <v>Mekarpawitan</v>
      </c>
      <c r="P58" s="237"/>
      <c r="T58" s="128"/>
      <c r="U58" s="128"/>
      <c r="W58" s="144"/>
      <c r="X58" s="144"/>
      <c r="Y58" s="144"/>
    </row>
    <row r="59" spans="2:25" s="143" customFormat="1" ht="11.25" customHeight="1" x14ac:dyDescent="0.25">
      <c r="C59" s="128"/>
      <c r="D59" s="145"/>
      <c r="F59" s="128"/>
      <c r="T59" s="128"/>
      <c r="U59" s="128"/>
      <c r="W59" s="144"/>
      <c r="X59" s="144"/>
      <c r="Y59" s="144"/>
    </row>
    <row r="60" spans="2:25" s="143" customFormat="1" ht="11.25" customHeight="1" x14ac:dyDescent="0.25">
      <c r="C60" s="128"/>
      <c r="D60" s="145"/>
      <c r="F60" s="128"/>
      <c r="T60" s="128"/>
      <c r="U60" s="128"/>
      <c r="W60" s="144"/>
      <c r="X60" s="144"/>
      <c r="Y60" s="144"/>
    </row>
    <row r="61" spans="2:25" s="143" customFormat="1" ht="11.25" customHeight="1" x14ac:dyDescent="0.25">
      <c r="C61" s="128"/>
      <c r="D61" s="145"/>
      <c r="F61" s="128"/>
      <c r="T61" s="128"/>
      <c r="U61" s="128"/>
      <c r="W61" s="144"/>
      <c r="X61" s="144"/>
      <c r="Y61" s="144"/>
    </row>
    <row r="62" spans="2:25" s="143" customFormat="1" ht="11.25" customHeight="1" x14ac:dyDescent="0.25">
      <c r="C62" s="128"/>
      <c r="D62" s="145"/>
      <c r="F62" s="128"/>
      <c r="T62" s="128"/>
      <c r="U62" s="128"/>
      <c r="W62" s="144"/>
      <c r="X62" s="144"/>
      <c r="Y62" s="144"/>
    </row>
    <row r="63" spans="2:25" s="143" customFormat="1" ht="11.25" customHeight="1" x14ac:dyDescent="0.25">
      <c r="C63" s="128"/>
      <c r="D63" s="145"/>
      <c r="F63" s="128"/>
      <c r="T63" s="128"/>
      <c r="U63" s="128"/>
      <c r="W63" s="144"/>
      <c r="X63" s="144"/>
      <c r="Y63" s="144"/>
    </row>
    <row r="64" spans="2:25" s="143" customFormat="1" ht="11.25" customHeight="1" x14ac:dyDescent="0.25">
      <c r="C64" s="128"/>
      <c r="D64" s="145"/>
      <c r="F64" s="128"/>
      <c r="T64" s="128"/>
      <c r="U64" s="128"/>
      <c r="W64" s="144"/>
      <c r="X64" s="144"/>
      <c r="Y64" s="144"/>
    </row>
    <row r="65" spans="1:25" s="143" customFormat="1" ht="11.25" customHeight="1" x14ac:dyDescent="0.25">
      <c r="C65" s="128"/>
      <c r="D65" s="145"/>
      <c r="F65" s="128"/>
      <c r="T65" s="128"/>
      <c r="U65" s="128"/>
      <c r="W65" s="144"/>
      <c r="X65" s="144"/>
      <c r="Y65" s="144"/>
    </row>
    <row r="66" spans="1:25" s="143" customFormat="1" ht="11.25" customHeight="1" x14ac:dyDescent="0.25">
      <c r="C66" s="128"/>
      <c r="D66" s="145"/>
      <c r="F66" s="128"/>
      <c r="T66" s="128"/>
      <c r="U66" s="128"/>
      <c r="W66" s="144"/>
      <c r="X66" s="144"/>
      <c r="Y66" s="144"/>
    </row>
    <row r="67" spans="1:25" s="143" customFormat="1" ht="11.25" customHeight="1" x14ac:dyDescent="0.25">
      <c r="C67" s="128"/>
      <c r="D67" s="145"/>
      <c r="F67" s="128"/>
      <c r="T67" s="128"/>
      <c r="U67" s="128"/>
      <c r="W67" s="144"/>
      <c r="X67" s="144"/>
      <c r="Y67" s="144"/>
    </row>
    <row r="68" spans="1:25" s="143" customFormat="1" ht="16.5" customHeight="1" x14ac:dyDescent="0.25">
      <c r="A68" s="146"/>
      <c r="B68" s="146"/>
      <c r="C68" s="239" t="s">
        <v>205</v>
      </c>
      <c r="D68" s="239"/>
      <c r="E68" s="239"/>
      <c r="F68" s="128"/>
      <c r="G68" s="239" t="str">
        <f>Source!B7</f>
        <v>Cahya Purnama, S.Pd</v>
      </c>
      <c r="H68" s="239"/>
      <c r="I68" s="239"/>
      <c r="J68" s="146"/>
      <c r="K68" s="146"/>
      <c r="L68" s="146"/>
      <c r="M68" s="146"/>
      <c r="N68" s="146"/>
      <c r="O68" s="239" t="str">
        <f>Source!B5</f>
        <v>Tonton</v>
      </c>
      <c r="P68" s="239"/>
      <c r="Q68" s="239" t="str">
        <f>Source!B8</f>
        <v>Topik, S.T</v>
      </c>
      <c r="R68" s="239"/>
      <c r="S68" s="239"/>
      <c r="T68" s="239" t="str">
        <f>Source!B9</f>
        <v>Yuda Adi Nugraha, S.E</v>
      </c>
      <c r="U68" s="239"/>
      <c r="V68" s="239"/>
      <c r="W68" s="147"/>
      <c r="X68" s="147"/>
      <c r="Y68" s="147"/>
    </row>
    <row r="69" spans="1:25" s="143" customFormat="1" ht="11.25" customHeight="1" x14ac:dyDescent="0.25">
      <c r="C69" s="237" t="s">
        <v>206</v>
      </c>
      <c r="D69" s="237"/>
      <c r="E69" s="237"/>
      <c r="F69" s="128"/>
      <c r="G69" s="145"/>
      <c r="L69" s="128"/>
      <c r="M69" s="128"/>
      <c r="O69" s="237" t="str">
        <f>IF(A5="Desa","","NIP. "&amp;Source!B6)</f>
        <v/>
      </c>
      <c r="P69" s="237"/>
      <c r="T69" s="128"/>
      <c r="U69" s="128"/>
      <c r="W69" s="144"/>
      <c r="X69" s="144"/>
      <c r="Y69" s="144"/>
    </row>
    <row r="70" spans="1:25" ht="11.25" customHeight="1" x14ac:dyDescent="0.25">
      <c r="L70" s="148"/>
      <c r="M70" s="148"/>
    </row>
    <row r="71" spans="1:25" ht="11.25" customHeight="1" x14ac:dyDescent="0.25"/>
    <row r="72" spans="1:25" ht="11.25" customHeight="1" x14ac:dyDescent="0.25"/>
    <row r="73" spans="1:25" ht="11.25" customHeight="1" x14ac:dyDescent="0.25"/>
    <row r="74" spans="1:25" ht="11.25" customHeight="1" x14ac:dyDescent="0.25"/>
    <row r="75" spans="1:25" ht="11.25" customHeight="1" x14ac:dyDescent="0.25"/>
    <row r="76" spans="1:25" ht="11.25" customHeight="1" x14ac:dyDescent="0.25">
      <c r="A76" s="6"/>
      <c r="B76" s="6"/>
      <c r="C76" s="6"/>
      <c r="D76" s="6"/>
      <c r="E76" s="26"/>
      <c r="F76" s="26"/>
      <c r="G76" s="29"/>
      <c r="H76" s="27"/>
      <c r="I76" s="27"/>
      <c r="J76" s="27"/>
      <c r="K76" s="27"/>
      <c r="L76" s="25"/>
      <c r="M76" s="25"/>
      <c r="O76" s="6"/>
      <c r="P76" s="6"/>
      <c r="Q76" s="6"/>
      <c r="R76" s="6"/>
      <c r="S76" s="6"/>
      <c r="T76" s="26"/>
      <c r="U76" s="26"/>
      <c r="V76" s="6"/>
      <c r="W76" s="28"/>
      <c r="X76" s="28"/>
      <c r="Y76" s="28"/>
    </row>
    <row r="77" spans="1:25" ht="11.25" customHeight="1" x14ac:dyDescent="0.25"/>
    <row r="78" spans="1:25" ht="11.25" customHeight="1" x14ac:dyDescent="0.25"/>
    <row r="79" spans="1:25" ht="11.25" customHeight="1" x14ac:dyDescent="0.25"/>
    <row r="80" spans="1:25" ht="11.25" customHeight="1" x14ac:dyDescent="0.25"/>
    <row r="81" ht="11.25" customHeight="1" x14ac:dyDescent="0.25"/>
    <row r="82" ht="11.25" customHeight="1" x14ac:dyDescent="0.25"/>
    <row r="83" ht="11.25" customHeight="1" x14ac:dyDescent="0.25"/>
    <row r="84" ht="11.25" customHeight="1" x14ac:dyDescent="0.25"/>
    <row r="85" ht="11.25" customHeight="1" x14ac:dyDescent="0.25"/>
    <row r="86" ht="11.25" customHeight="1" x14ac:dyDescent="0.25"/>
    <row r="87" ht="11.25" customHeight="1" x14ac:dyDescent="0.25"/>
    <row r="88" ht="11.25" customHeight="1" x14ac:dyDescent="0.25"/>
  </sheetData>
  <mergeCells count="47">
    <mergeCell ref="W8:Y8"/>
    <mergeCell ref="A3:V3"/>
    <mergeCell ref="A4:V4"/>
    <mergeCell ref="A10:A11"/>
    <mergeCell ref="C10:C11"/>
    <mergeCell ref="D10:D11"/>
    <mergeCell ref="E10:E11"/>
    <mergeCell ref="F10:F11"/>
    <mergeCell ref="G10:G11"/>
    <mergeCell ref="H10:M10"/>
    <mergeCell ref="N10:O10"/>
    <mergeCell ref="P10:P11"/>
    <mergeCell ref="V10:V11"/>
    <mergeCell ref="B10:B11"/>
    <mergeCell ref="D5:E5"/>
    <mergeCell ref="D6:E6"/>
    <mergeCell ref="D7:E7"/>
    <mergeCell ref="C69:E69"/>
    <mergeCell ref="C55:E55"/>
    <mergeCell ref="G57:I57"/>
    <mergeCell ref="G58:I58"/>
    <mergeCell ref="G68:I68"/>
    <mergeCell ref="G55:I55"/>
    <mergeCell ref="D8:E8"/>
    <mergeCell ref="C68:E68"/>
    <mergeCell ref="I56:N56"/>
    <mergeCell ref="C57:E57"/>
    <mergeCell ref="A42:F42"/>
    <mergeCell ref="B47:J47"/>
    <mergeCell ref="B45:I45"/>
    <mergeCell ref="B46:I46"/>
    <mergeCell ref="L42:V42"/>
    <mergeCell ref="O69:P69"/>
    <mergeCell ref="Y10:Y11"/>
    <mergeCell ref="O55:P55"/>
    <mergeCell ref="O57:P57"/>
    <mergeCell ref="O68:P68"/>
    <mergeCell ref="Q68:S68"/>
    <mergeCell ref="T68:V68"/>
    <mergeCell ref="Q57:V57"/>
    <mergeCell ref="Q55:V55"/>
    <mergeCell ref="W10:W11"/>
    <mergeCell ref="O58:P58"/>
    <mergeCell ref="Q10:R10"/>
    <mergeCell ref="X10:X11"/>
    <mergeCell ref="T10:U10"/>
    <mergeCell ref="K52:S52"/>
  </mergeCells>
  <phoneticPr fontId="10" type="noConversion"/>
  <conditionalFormatting sqref="A13:V39">
    <cfRule type="expression" dxfId="20" priority="17">
      <formula>$O13="TIDAK LOLOS"</formula>
    </cfRule>
    <cfRule type="expression" dxfId="19" priority="18">
      <formula>$N13="PENGGANTI"</formula>
    </cfRule>
    <cfRule type="expression" dxfId="18" priority="19">
      <formula>$N13="LOLOS"</formula>
    </cfRule>
  </conditionalFormatting>
  <conditionalFormatting sqref="E70:E1048576 E1:E54">
    <cfRule type="duplicateValues" dxfId="17" priority="1"/>
  </conditionalFormatting>
  <dataValidations count="6">
    <dataValidation type="textLength" operator="equal" allowBlank="1" showInputMessage="1" showErrorMessage="1" errorTitle="Pengisian NIK harus sesuai" error="Jumlah angka NIK tidak sesuai (tidak sama dengan 16 angka)" promptTitle="Masukan NIK" prompt="Jumlah angka harus 16" sqref="AG6" xr:uid="{00000000-0002-0000-0300-000000000000}">
      <formula1>16</formula1>
    </dataValidation>
    <dataValidation type="list" allowBlank="1" showInputMessage="1" showErrorMessage="1" sqref="N13:N39" xr:uid="{00000000-0002-0000-0300-000001000000}">
      <formula1>$AD$13:$AD$14</formula1>
    </dataValidation>
    <dataValidation type="list" allowBlank="1" showInputMessage="1" showErrorMessage="1" sqref="S13:S39" xr:uid="{00000000-0002-0000-0300-000002000000}">
      <formula1>$AD$16:$AD$18</formula1>
    </dataValidation>
    <dataValidation type="list" allowBlank="1" showInputMessage="1" showErrorMessage="1" sqref="H13:M39" xr:uid="{00000000-0002-0000-0300-000003000000}">
      <formula1>"√,x,"</formula1>
    </dataValidation>
    <dataValidation type="list" allowBlank="1" showInputMessage="1" showErrorMessage="1" sqref="P13:P39" xr:uid="{00000000-0002-0000-0300-000004000000}">
      <formula1>$L$43:$L$51</formula1>
    </dataValidation>
    <dataValidation type="list" allowBlank="1" showInputMessage="1" showErrorMessage="1" sqref="O13:O39" xr:uid="{00000000-0002-0000-0300-000005000000}">
      <formula1>$O$11</formula1>
    </dataValidation>
  </dataValidations>
  <pageMargins left="0.23" right="0" top="0.39" bottom="0.39370078740157499" header="0.16" footer="0.31496062992126"/>
  <pageSetup paperSize="9" scale="40" fitToHeight="0" orientation="landscape" r:id="rId1"/>
  <rowBreaks count="1" manualBreakCount="1">
    <brk id="70" max="21" man="1"/>
  </rowBreaks>
  <colBreaks count="1" manualBreakCount="1">
    <brk id="25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1"/>
  <sheetViews>
    <sheetView view="pageBreakPreview" topLeftCell="F5" zoomScale="86" zoomScaleNormal="86" zoomScaleSheetLayoutView="86" workbookViewId="0">
      <selection activeCell="M22" sqref="M22:N22"/>
    </sheetView>
  </sheetViews>
  <sheetFormatPr defaultColWidth="10.85546875" defaultRowHeight="20.25" customHeight="1" x14ac:dyDescent="0.25"/>
  <cols>
    <col min="1" max="1" width="4.42578125" style="34" bestFit="1" customWidth="1"/>
    <col min="2" max="2" width="13.85546875" style="34" customWidth="1"/>
    <col min="3" max="3" width="27" style="34" customWidth="1"/>
    <col min="4" max="4" width="10.85546875" style="34" customWidth="1"/>
    <col min="5" max="5" width="25.5703125" style="34" customWidth="1"/>
    <col min="6" max="6" width="46" style="35" customWidth="1"/>
    <col min="7" max="7" width="24.140625" style="34" customWidth="1"/>
    <col min="8" max="8" width="22" style="34" customWidth="1"/>
    <col min="9" max="9" width="13.85546875" style="34" customWidth="1"/>
    <col min="10" max="10" width="25.140625" style="34" customWidth="1"/>
    <col min="11" max="11" width="12.42578125" style="34" customWidth="1"/>
    <col min="12" max="12" width="14.140625" style="34" customWidth="1"/>
    <col min="13" max="13" width="16.42578125" style="38" customWidth="1"/>
    <col min="14" max="14" width="16.5703125" style="38" customWidth="1"/>
    <col min="15" max="15" width="28.7109375" style="38" bestFit="1" customWidth="1"/>
    <col min="16" max="16" width="22" style="32" bestFit="1" customWidth="1"/>
    <col min="17" max="17" width="22.42578125" style="32" customWidth="1"/>
    <col min="18" max="18" width="10.85546875" style="34"/>
    <col min="19" max="19" width="0" style="34" hidden="1" customWidth="1"/>
    <col min="20" max="16384" width="10.85546875" style="34"/>
  </cols>
  <sheetData>
    <row r="1" spans="1:19" ht="20.25" customHeight="1" x14ac:dyDescent="0.25">
      <c r="M1" s="36"/>
      <c r="N1" s="37" t="s">
        <v>58</v>
      </c>
      <c r="O1" s="37"/>
      <c r="P1" s="31"/>
      <c r="Q1" s="31"/>
    </row>
    <row r="2" spans="1:19" ht="20.25" customHeight="1" x14ac:dyDescent="0.25">
      <c r="P2" s="31"/>
      <c r="Q2" s="31"/>
    </row>
    <row r="3" spans="1:19" ht="20.25" customHeight="1" x14ac:dyDescent="0.25">
      <c r="A3" s="255" t="s">
        <v>55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52"/>
      <c r="P3" s="53"/>
      <c r="Q3" s="53"/>
      <c r="R3" s="39"/>
      <c r="S3" s="39"/>
    </row>
    <row r="4" spans="1:19" ht="20.25" customHeight="1" x14ac:dyDescent="0.25">
      <c r="A4" s="256" t="s">
        <v>403</v>
      </c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54"/>
      <c r="P4" s="53"/>
      <c r="Q4" s="53"/>
      <c r="R4" s="40"/>
      <c r="S4" s="40"/>
    </row>
    <row r="5" spans="1:19" ht="20.25" customHeight="1" x14ac:dyDescent="0.3">
      <c r="A5" s="257" t="s">
        <v>21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56"/>
      <c r="P5" s="53"/>
      <c r="Q5" s="53"/>
    </row>
    <row r="6" spans="1:19" ht="20.25" customHeight="1" x14ac:dyDescent="0.25">
      <c r="A6" s="55"/>
      <c r="B6" s="55"/>
      <c r="C6" s="55"/>
      <c r="D6" s="55"/>
      <c r="E6" s="55"/>
      <c r="F6" s="57"/>
      <c r="G6" s="55"/>
      <c r="H6" s="55"/>
      <c r="I6" s="55"/>
      <c r="J6" s="55"/>
      <c r="K6" s="55"/>
      <c r="L6" s="55"/>
      <c r="M6" s="56"/>
      <c r="N6" s="56"/>
      <c r="O6" s="262" t="str">
        <f>'II-4'!W8</f>
        <v>Diisi juga kolom ini</v>
      </c>
      <c r="P6" s="262"/>
      <c r="Q6" s="262"/>
      <c r="R6" s="41"/>
      <c r="S6" s="41"/>
    </row>
    <row r="7" spans="1:19" ht="20.25" customHeight="1" x14ac:dyDescent="0.25">
      <c r="A7" s="55"/>
      <c r="B7" s="55"/>
      <c r="C7" s="55"/>
      <c r="D7" s="55"/>
      <c r="E7" s="55"/>
      <c r="F7" s="57"/>
      <c r="G7" s="55"/>
      <c r="H7" s="55"/>
      <c r="I7" s="55"/>
      <c r="J7" s="55"/>
      <c r="K7" s="55"/>
      <c r="L7" s="55"/>
      <c r="M7" s="56"/>
      <c r="N7" s="56"/>
      <c r="O7" s="56"/>
      <c r="P7" s="58"/>
      <c r="Q7" s="58"/>
      <c r="R7" s="41"/>
      <c r="S7" s="41"/>
    </row>
    <row r="8" spans="1:19" ht="24.75" customHeight="1" x14ac:dyDescent="0.25">
      <c r="A8" s="258" t="s">
        <v>54</v>
      </c>
      <c r="B8" s="258" t="s">
        <v>209</v>
      </c>
      <c r="C8" s="258" t="s">
        <v>0</v>
      </c>
      <c r="D8" s="260" t="s">
        <v>1</v>
      </c>
      <c r="E8" s="258" t="s">
        <v>28</v>
      </c>
      <c r="F8" s="260" t="s">
        <v>2</v>
      </c>
      <c r="G8" s="260" t="str">
        <f>UPPER(Source!A4)</f>
        <v>DESA</v>
      </c>
      <c r="H8" s="258" t="s">
        <v>3</v>
      </c>
      <c r="I8" s="258" t="str">
        <f>UPPER(Source!A2)</f>
        <v>KABUPATEN</v>
      </c>
      <c r="J8" s="258" t="s">
        <v>4</v>
      </c>
      <c r="K8" s="265" t="s">
        <v>53</v>
      </c>
      <c r="L8" s="265"/>
      <c r="M8" s="265" t="s">
        <v>172</v>
      </c>
      <c r="N8" s="265"/>
      <c r="O8" s="263" t="s">
        <v>207</v>
      </c>
      <c r="P8" s="263" t="s">
        <v>166</v>
      </c>
      <c r="Q8" s="263" t="s">
        <v>210</v>
      </c>
      <c r="R8" s="41"/>
      <c r="S8" s="41"/>
    </row>
    <row r="9" spans="1:19" ht="24.75" customHeight="1" x14ac:dyDescent="0.25">
      <c r="A9" s="259"/>
      <c r="B9" s="259"/>
      <c r="C9" s="259"/>
      <c r="D9" s="261"/>
      <c r="E9" s="259"/>
      <c r="F9" s="261"/>
      <c r="G9" s="261"/>
      <c r="H9" s="259"/>
      <c r="I9" s="259"/>
      <c r="J9" s="259"/>
      <c r="K9" s="64" t="s">
        <v>52</v>
      </c>
      <c r="L9" s="64" t="s">
        <v>51</v>
      </c>
      <c r="M9" s="104" t="s">
        <v>173</v>
      </c>
      <c r="N9" s="104" t="s">
        <v>35</v>
      </c>
      <c r="O9" s="264"/>
      <c r="P9" s="264"/>
      <c r="Q9" s="264"/>
      <c r="R9" s="41"/>
      <c r="S9" s="41"/>
    </row>
    <row r="10" spans="1:19" ht="20.25" customHeight="1" x14ac:dyDescent="0.25">
      <c r="A10" s="105">
        <v>1</v>
      </c>
      <c r="B10" s="106"/>
      <c r="C10" s="107" t="str">
        <f>'II-4'!C13</f>
        <v>ODANG</v>
      </c>
      <c r="D10" s="106" t="str">
        <f>'II-4'!D13</f>
        <v>L</v>
      </c>
      <c r="E10" s="107" t="str">
        <f>'II-4'!E13</f>
        <v>3204350707650002</v>
      </c>
      <c r="F10" s="108" t="str">
        <f>'II-4'!G13</f>
        <v>KP. JATI RT 03 RW 03</v>
      </c>
      <c r="G10" s="105" t="str">
        <f>Source!$B$4</f>
        <v>MEKARPAWITAN</v>
      </c>
      <c r="H10" s="105" t="str">
        <f>Source!$B$3</f>
        <v>PASEH</v>
      </c>
      <c r="I10" s="105" t="str">
        <f>Source!$B$2</f>
        <v>BANDUNG</v>
      </c>
      <c r="J10" s="105" t="s">
        <v>19</v>
      </c>
      <c r="K10" s="105" t="s">
        <v>366</v>
      </c>
      <c r="L10" s="109">
        <v>46115</v>
      </c>
      <c r="M10" s="110" t="s">
        <v>367</v>
      </c>
      <c r="N10" s="110" t="s">
        <v>368</v>
      </c>
      <c r="O10" s="93" t="s">
        <v>231</v>
      </c>
      <c r="P10" s="94" t="s">
        <v>232</v>
      </c>
      <c r="Q10" s="95" t="s">
        <v>233</v>
      </c>
      <c r="R10" s="41"/>
      <c r="S10" s="46" t="s">
        <v>19</v>
      </c>
    </row>
    <row r="11" spans="1:19" ht="20.25" customHeight="1" x14ac:dyDescent="0.25">
      <c r="A11" s="105">
        <f>A10+1</f>
        <v>2</v>
      </c>
      <c r="B11" s="106"/>
      <c r="C11" s="107" t="str">
        <f>'II-4'!C14</f>
        <v>UTAR</v>
      </c>
      <c r="D11" s="106" t="str">
        <f>'II-4'!D14</f>
        <v>L</v>
      </c>
      <c r="E11" s="107" t="str">
        <f>'II-4'!E14</f>
        <v>3204352101630005</v>
      </c>
      <c r="F11" s="108" t="str">
        <f>'II-4'!G14</f>
        <v>KP. PUNDEUY RT 01 RW 11</v>
      </c>
      <c r="G11" s="105" t="str">
        <f>Source!$B$4</f>
        <v>MEKARPAWITAN</v>
      </c>
      <c r="H11" s="105" t="str">
        <f>Source!$B$3</f>
        <v>PASEH</v>
      </c>
      <c r="I11" s="105" t="str">
        <f>Source!$B$2</f>
        <v>BANDUNG</v>
      </c>
      <c r="J11" s="105" t="s">
        <v>19</v>
      </c>
      <c r="K11" s="105" t="s">
        <v>366</v>
      </c>
      <c r="L11" s="109">
        <v>46115</v>
      </c>
      <c r="M11" s="111" t="s">
        <v>369</v>
      </c>
      <c r="N11" s="111" t="s">
        <v>370</v>
      </c>
      <c r="O11" s="93" t="s">
        <v>238</v>
      </c>
      <c r="P11" s="94" t="s">
        <v>239</v>
      </c>
      <c r="Q11" s="95" t="s">
        <v>233</v>
      </c>
      <c r="R11" s="41"/>
      <c r="S11" s="46" t="s">
        <v>176</v>
      </c>
    </row>
    <row r="12" spans="1:19" ht="20.25" customHeight="1" x14ac:dyDescent="0.25">
      <c r="A12" s="105">
        <f t="shared" ref="A12:A28" si="0">A11+1</f>
        <v>3</v>
      </c>
      <c r="B12" s="106"/>
      <c r="C12" s="107" t="str">
        <f>'II-4'!C15</f>
        <v>NENENG WIDIA NINGSIH</v>
      </c>
      <c r="D12" s="106" t="str">
        <f>'II-4'!D15</f>
        <v>P</v>
      </c>
      <c r="E12" s="107" t="str">
        <f>'II-4'!E15</f>
        <v>3204355408590001</v>
      </c>
      <c r="F12" s="108" t="str">
        <f>'II-4'!G15</f>
        <v>KP. BARU RT 03 RW 05</v>
      </c>
      <c r="G12" s="105" t="str">
        <f>Source!$B$4</f>
        <v>MEKARPAWITAN</v>
      </c>
      <c r="H12" s="105" t="str">
        <f>Source!$B$3</f>
        <v>PASEH</v>
      </c>
      <c r="I12" s="105" t="str">
        <f>Source!$B$2</f>
        <v>BANDUNG</v>
      </c>
      <c r="J12" s="105" t="s">
        <v>19</v>
      </c>
      <c r="K12" s="105" t="s">
        <v>366</v>
      </c>
      <c r="L12" s="109">
        <v>46115</v>
      </c>
      <c r="M12" s="111" t="s">
        <v>371</v>
      </c>
      <c r="N12" s="111" t="s">
        <v>372</v>
      </c>
      <c r="O12" s="93" t="s">
        <v>245</v>
      </c>
      <c r="P12" s="94" t="s">
        <v>246</v>
      </c>
      <c r="Q12" s="95" t="s">
        <v>233</v>
      </c>
      <c r="R12" s="41"/>
      <c r="S12" s="41"/>
    </row>
    <row r="13" spans="1:19" ht="20.25" customHeight="1" x14ac:dyDescent="0.25">
      <c r="A13" s="105">
        <f t="shared" si="0"/>
        <v>4</v>
      </c>
      <c r="B13" s="106"/>
      <c r="C13" s="107" t="str">
        <f>'II-4'!C16</f>
        <v>MAMAN IMRON</v>
      </c>
      <c r="D13" s="106" t="str">
        <f>'II-4'!D16</f>
        <v>L</v>
      </c>
      <c r="E13" s="107" t="str">
        <f>'II-4'!E16</f>
        <v>3204351306510001</v>
      </c>
      <c r="F13" s="108" t="str">
        <f>'II-4'!G16</f>
        <v>BOJONG BECIK RT 03 RW 07</v>
      </c>
      <c r="G13" s="105" t="str">
        <f>Source!$B$4</f>
        <v>MEKARPAWITAN</v>
      </c>
      <c r="H13" s="105" t="str">
        <f>Source!$B$3</f>
        <v>PASEH</v>
      </c>
      <c r="I13" s="105" t="str">
        <f>Source!$B$2</f>
        <v>BANDUNG</v>
      </c>
      <c r="J13" s="105" t="s">
        <v>19</v>
      </c>
      <c r="K13" s="105" t="s">
        <v>366</v>
      </c>
      <c r="L13" s="109">
        <v>46115</v>
      </c>
      <c r="M13" s="111" t="s">
        <v>373</v>
      </c>
      <c r="N13" s="111" t="s">
        <v>374</v>
      </c>
      <c r="O13" s="93" t="s">
        <v>251</v>
      </c>
      <c r="P13" s="94" t="s">
        <v>252</v>
      </c>
      <c r="Q13" s="95" t="s">
        <v>233</v>
      </c>
      <c r="R13" s="41"/>
      <c r="S13" s="41"/>
    </row>
    <row r="14" spans="1:19" ht="20.25" customHeight="1" x14ac:dyDescent="0.25">
      <c r="A14" s="105">
        <f t="shared" si="0"/>
        <v>5</v>
      </c>
      <c r="B14" s="106"/>
      <c r="C14" s="107" t="str">
        <f>'II-4'!C17</f>
        <v>KOMARUDIN</v>
      </c>
      <c r="D14" s="106" t="str">
        <f>'II-4'!D17</f>
        <v>L</v>
      </c>
      <c r="E14" s="107" t="str">
        <f>'II-4'!E17</f>
        <v>3204352012830002</v>
      </c>
      <c r="F14" s="108" t="str">
        <f>'II-4'!G17</f>
        <v>KP. JATI RT 03 RW 03</v>
      </c>
      <c r="G14" s="105" t="str">
        <f>Source!$B$4</f>
        <v>MEKARPAWITAN</v>
      </c>
      <c r="H14" s="105" t="str">
        <f>Source!$B$3</f>
        <v>PASEH</v>
      </c>
      <c r="I14" s="105" t="str">
        <f>Source!$B$2</f>
        <v>BANDUNG</v>
      </c>
      <c r="J14" s="105" t="s">
        <v>19</v>
      </c>
      <c r="K14" s="105" t="s">
        <v>366</v>
      </c>
      <c r="L14" s="109">
        <v>46115</v>
      </c>
      <c r="M14" s="111" t="s">
        <v>375</v>
      </c>
      <c r="N14" s="111" t="s">
        <v>376</v>
      </c>
      <c r="O14" s="93" t="s">
        <v>256</v>
      </c>
      <c r="P14" s="94" t="s">
        <v>257</v>
      </c>
      <c r="Q14" s="95" t="s">
        <v>233</v>
      </c>
      <c r="R14" s="41"/>
      <c r="S14" s="41"/>
    </row>
    <row r="15" spans="1:19" ht="20.25" customHeight="1" x14ac:dyDescent="0.25">
      <c r="A15" s="105">
        <f t="shared" si="0"/>
        <v>6</v>
      </c>
      <c r="B15" s="106"/>
      <c r="C15" s="107" t="str">
        <f>'II-4'!C18</f>
        <v>ISAK</v>
      </c>
      <c r="D15" s="106" t="str">
        <f>'II-4'!D18</f>
        <v>L</v>
      </c>
      <c r="E15" s="107" t="str">
        <f>'II-4'!E18</f>
        <v>3204350406800014</v>
      </c>
      <c r="F15" s="108" t="str">
        <f>'II-4'!G18</f>
        <v>KP. JATI RT 03 RW 12</v>
      </c>
      <c r="G15" s="105" t="str">
        <f>Source!$B$4</f>
        <v>MEKARPAWITAN</v>
      </c>
      <c r="H15" s="105" t="str">
        <f>Source!$B$3</f>
        <v>PASEH</v>
      </c>
      <c r="I15" s="105" t="str">
        <f>Source!$B$2</f>
        <v>BANDUNG</v>
      </c>
      <c r="J15" s="105" t="s">
        <v>19</v>
      </c>
      <c r="K15" s="105" t="s">
        <v>366</v>
      </c>
      <c r="L15" s="109">
        <v>46115</v>
      </c>
      <c r="M15" s="111" t="s">
        <v>378</v>
      </c>
      <c r="N15" s="111" t="s">
        <v>377</v>
      </c>
      <c r="O15" s="93" t="s">
        <v>262</v>
      </c>
      <c r="P15" s="94" t="s">
        <v>263</v>
      </c>
      <c r="Q15" s="95" t="s">
        <v>233</v>
      </c>
      <c r="R15" s="41"/>
      <c r="S15" s="41"/>
    </row>
    <row r="16" spans="1:19" ht="20.25" customHeight="1" x14ac:dyDescent="0.25">
      <c r="A16" s="105">
        <f t="shared" si="0"/>
        <v>7</v>
      </c>
      <c r="B16" s="106"/>
      <c r="C16" s="107" t="str">
        <f>'II-4'!C19</f>
        <v>INA</v>
      </c>
      <c r="D16" s="106" t="str">
        <f>'II-4'!D19</f>
        <v>P</v>
      </c>
      <c r="E16" s="107" t="str">
        <f>'II-4'!E19</f>
        <v>3204354810840004</v>
      </c>
      <c r="F16" s="108" t="str">
        <f>'II-4'!G19</f>
        <v>KP. BOJONG BECIK RT 01 RW 07</v>
      </c>
      <c r="G16" s="105" t="str">
        <f>Source!$B$4</f>
        <v>MEKARPAWITAN</v>
      </c>
      <c r="H16" s="105" t="str">
        <f>Source!$B$3</f>
        <v>PASEH</v>
      </c>
      <c r="I16" s="105" t="str">
        <f>Source!$B$2</f>
        <v>BANDUNG</v>
      </c>
      <c r="J16" s="105" t="s">
        <v>19</v>
      </c>
      <c r="K16" s="105" t="s">
        <v>366</v>
      </c>
      <c r="L16" s="109">
        <v>46115</v>
      </c>
      <c r="M16" s="111" t="s">
        <v>379</v>
      </c>
      <c r="N16" s="111" t="s">
        <v>380</v>
      </c>
      <c r="O16" s="93" t="s">
        <v>268</v>
      </c>
      <c r="P16" s="94" t="s">
        <v>269</v>
      </c>
      <c r="Q16" s="95" t="s">
        <v>233</v>
      </c>
      <c r="R16" s="41"/>
      <c r="S16" s="41"/>
    </row>
    <row r="17" spans="1:19" ht="20.25" customHeight="1" x14ac:dyDescent="0.25">
      <c r="A17" s="105">
        <f t="shared" si="0"/>
        <v>8</v>
      </c>
      <c r="B17" s="106"/>
      <c r="C17" s="107" t="str">
        <f>'II-4'!C20</f>
        <v>EUIS KOMARIAH</v>
      </c>
      <c r="D17" s="106" t="str">
        <f>'II-4'!D20</f>
        <v>P</v>
      </c>
      <c r="E17" s="107" t="str">
        <f>'II-4'!E20</f>
        <v>3204356712640001</v>
      </c>
      <c r="F17" s="108" t="str">
        <f>'II-4'!G20</f>
        <v>KP. CIPEUNDEUY RT 02 RW 13</v>
      </c>
      <c r="G17" s="105" t="str">
        <f>Source!$B$4</f>
        <v>MEKARPAWITAN</v>
      </c>
      <c r="H17" s="105" t="str">
        <f>Source!$B$3</f>
        <v>PASEH</v>
      </c>
      <c r="I17" s="105" t="str">
        <f>Source!$B$2</f>
        <v>BANDUNG</v>
      </c>
      <c r="J17" s="105" t="s">
        <v>19</v>
      </c>
      <c r="K17" s="105" t="s">
        <v>366</v>
      </c>
      <c r="L17" s="109">
        <v>46115</v>
      </c>
      <c r="M17" s="111" t="s">
        <v>381</v>
      </c>
      <c r="N17" s="110" t="s">
        <v>382</v>
      </c>
      <c r="O17" s="96" t="s">
        <v>274</v>
      </c>
      <c r="P17" s="94" t="s">
        <v>275</v>
      </c>
      <c r="Q17" s="97" t="s">
        <v>233</v>
      </c>
      <c r="R17" s="41"/>
      <c r="S17" s="41"/>
    </row>
    <row r="18" spans="1:19" ht="20.25" customHeight="1" x14ac:dyDescent="0.25">
      <c r="A18" s="105">
        <f t="shared" si="0"/>
        <v>9</v>
      </c>
      <c r="B18" s="106"/>
      <c r="C18" s="107" t="str">
        <f>'II-4'!C21</f>
        <v>HERI HERDIANSYAH</v>
      </c>
      <c r="D18" s="106" t="str">
        <f>'II-4'!D21</f>
        <v>L</v>
      </c>
      <c r="E18" s="107" t="str">
        <f>'II-4'!E21</f>
        <v>3204152409820005</v>
      </c>
      <c r="F18" s="108" t="str">
        <f>'II-4'!G21</f>
        <v>KP. SUKASARI RT 03 RW 14</v>
      </c>
      <c r="G18" s="105" t="str">
        <f>Source!$B$4</f>
        <v>MEKARPAWITAN</v>
      </c>
      <c r="H18" s="105" t="str">
        <f>Source!$B$3</f>
        <v>PASEH</v>
      </c>
      <c r="I18" s="105" t="str">
        <f>Source!$B$2</f>
        <v>BANDUNG</v>
      </c>
      <c r="J18" s="105" t="s">
        <v>19</v>
      </c>
      <c r="K18" s="105" t="s">
        <v>366</v>
      </c>
      <c r="L18" s="109">
        <v>46115</v>
      </c>
      <c r="M18" s="111" t="s">
        <v>383</v>
      </c>
      <c r="N18" s="111" t="s">
        <v>384</v>
      </c>
      <c r="O18" s="93" t="s">
        <v>280</v>
      </c>
      <c r="P18" s="94" t="s">
        <v>281</v>
      </c>
      <c r="Q18" s="95" t="s">
        <v>233</v>
      </c>
      <c r="R18" s="41"/>
      <c r="S18" s="41"/>
    </row>
    <row r="19" spans="1:19" ht="20.25" customHeight="1" x14ac:dyDescent="0.25">
      <c r="A19" s="105">
        <f t="shared" si="0"/>
        <v>10</v>
      </c>
      <c r="B19" s="106"/>
      <c r="C19" s="107" t="str">
        <f>'II-4'!C22</f>
        <v>DAYAT HIDAYAT</v>
      </c>
      <c r="D19" s="106" t="str">
        <f>'II-4'!D22</f>
        <v>L</v>
      </c>
      <c r="E19" s="107" t="str">
        <f>'II-4'!E22</f>
        <v>3204350705820014</v>
      </c>
      <c r="F19" s="108" t="str">
        <f>'II-4'!G22</f>
        <v>KP. BARU RT 03 RW 05</v>
      </c>
      <c r="G19" s="105" t="str">
        <f>Source!$B$4</f>
        <v>MEKARPAWITAN</v>
      </c>
      <c r="H19" s="105" t="str">
        <f>Source!$B$3</f>
        <v>PASEH</v>
      </c>
      <c r="I19" s="105" t="str">
        <f>Source!$B$2</f>
        <v>BANDUNG</v>
      </c>
      <c r="J19" s="105" t="s">
        <v>19</v>
      </c>
      <c r="K19" s="105" t="s">
        <v>366</v>
      </c>
      <c r="L19" s="109">
        <v>46115</v>
      </c>
      <c r="M19" s="111" t="s">
        <v>385</v>
      </c>
      <c r="N19" s="111" t="s">
        <v>386</v>
      </c>
      <c r="O19" s="96" t="s">
        <v>286</v>
      </c>
      <c r="P19" s="94" t="s">
        <v>287</v>
      </c>
      <c r="Q19" s="97" t="s">
        <v>233</v>
      </c>
      <c r="R19" s="41"/>
      <c r="S19" s="41"/>
    </row>
    <row r="20" spans="1:19" ht="20.25" customHeight="1" x14ac:dyDescent="0.25">
      <c r="A20" s="105">
        <f t="shared" si="0"/>
        <v>11</v>
      </c>
      <c r="B20" s="106"/>
      <c r="C20" s="107" t="str">
        <f>'II-4'!C23</f>
        <v>DEDE</v>
      </c>
      <c r="D20" s="106" t="str">
        <f>'II-4'!D23</f>
        <v>L</v>
      </c>
      <c r="E20" s="107" t="str">
        <f>'II-4'!E23</f>
        <v>3204350703740003</v>
      </c>
      <c r="F20" s="108" t="str">
        <f>'II-4'!G23</f>
        <v>KP. BOJONG BECIK RT 03 RW 08</v>
      </c>
      <c r="G20" s="105" t="str">
        <f>Source!$B$4</f>
        <v>MEKARPAWITAN</v>
      </c>
      <c r="H20" s="105" t="str">
        <f>Source!$B$3</f>
        <v>PASEH</v>
      </c>
      <c r="I20" s="105" t="str">
        <f>Source!$B$2</f>
        <v>BANDUNG</v>
      </c>
      <c r="J20" s="105" t="s">
        <v>19</v>
      </c>
      <c r="K20" s="105" t="s">
        <v>366</v>
      </c>
      <c r="L20" s="109">
        <v>46115</v>
      </c>
      <c r="M20" s="111" t="s">
        <v>387</v>
      </c>
      <c r="N20" s="111" t="s">
        <v>388</v>
      </c>
      <c r="O20" s="93" t="s">
        <v>292</v>
      </c>
      <c r="P20" s="94" t="s">
        <v>293</v>
      </c>
      <c r="Q20" s="95" t="s">
        <v>233</v>
      </c>
      <c r="R20" s="41"/>
      <c r="S20" s="41"/>
    </row>
    <row r="21" spans="1:19" s="153" customFormat="1" ht="20.25" customHeight="1" x14ac:dyDescent="0.25">
      <c r="A21" s="112">
        <f t="shared" si="0"/>
        <v>12</v>
      </c>
      <c r="B21" s="113"/>
      <c r="C21" s="114" t="str">
        <f>'II-4'!C24</f>
        <v>DEDE ATIKAH</v>
      </c>
      <c r="D21" s="113" t="str">
        <f>'II-4'!D24</f>
        <v>P</v>
      </c>
      <c r="E21" s="114" t="str">
        <f>'II-4'!E24</f>
        <v>3204354203750012</v>
      </c>
      <c r="F21" s="115" t="str">
        <f>'II-4'!G24</f>
        <v>KP. RANCA RT 03 RW 11</v>
      </c>
      <c r="G21" s="112" t="str">
        <f>Source!$B$4</f>
        <v>MEKARPAWITAN</v>
      </c>
      <c r="H21" s="112" t="str">
        <f>Source!$B$3</f>
        <v>PASEH</v>
      </c>
      <c r="I21" s="112" t="str">
        <f>Source!$B$2</f>
        <v>BANDUNG</v>
      </c>
      <c r="J21" s="112" t="s">
        <v>176</v>
      </c>
      <c r="K21" s="112" t="s">
        <v>366</v>
      </c>
      <c r="L21" s="116">
        <v>46115</v>
      </c>
      <c r="M21" s="117" t="s">
        <v>389</v>
      </c>
      <c r="N21" s="117" t="s">
        <v>390</v>
      </c>
      <c r="O21" s="93" t="s">
        <v>298</v>
      </c>
      <c r="P21" s="94" t="s">
        <v>299</v>
      </c>
      <c r="Q21" s="95" t="s">
        <v>233</v>
      </c>
      <c r="R21" s="152"/>
      <c r="S21" s="152"/>
    </row>
    <row r="22" spans="1:19" s="153" customFormat="1" ht="20.25" customHeight="1" x14ac:dyDescent="0.25">
      <c r="A22" s="112">
        <f t="shared" si="0"/>
        <v>13</v>
      </c>
      <c r="B22" s="113"/>
      <c r="C22" s="114" t="str">
        <f>'II-4'!C25</f>
        <v>ANITA PURNAMASARI</v>
      </c>
      <c r="D22" s="113" t="str">
        <f>'II-4'!D25</f>
        <v>P</v>
      </c>
      <c r="E22" s="114" t="str">
        <f>'II-4'!E25</f>
        <v>3204356008940007</v>
      </c>
      <c r="F22" s="115" t="str">
        <f>'II-4'!G25</f>
        <v>KAMPUNG CIPEUNDEUY RT 04 RW 06</v>
      </c>
      <c r="G22" s="112" t="str">
        <f>Source!$B$4</f>
        <v>MEKARPAWITAN</v>
      </c>
      <c r="H22" s="112" t="str">
        <f>Source!$B$3</f>
        <v>PASEH</v>
      </c>
      <c r="I22" s="112" t="str">
        <f>Source!$B$2</f>
        <v>BANDUNG</v>
      </c>
      <c r="J22" s="112" t="s">
        <v>176</v>
      </c>
      <c r="K22" s="112" t="s">
        <v>366</v>
      </c>
      <c r="L22" s="116">
        <v>46115</v>
      </c>
      <c r="M22" s="117"/>
      <c r="N22" s="117"/>
      <c r="O22" s="93" t="s">
        <v>304</v>
      </c>
      <c r="P22" s="94" t="s">
        <v>305</v>
      </c>
      <c r="Q22" s="95" t="s">
        <v>233</v>
      </c>
      <c r="R22" s="152"/>
      <c r="S22" s="152"/>
    </row>
    <row r="23" spans="1:19" ht="20.25" customHeight="1" x14ac:dyDescent="0.25">
      <c r="A23" s="112">
        <f t="shared" si="0"/>
        <v>14</v>
      </c>
      <c r="B23" s="113"/>
      <c r="C23" s="114" t="str">
        <f>'II-4'!C26</f>
        <v>CUCU KARTIKA</v>
      </c>
      <c r="D23" s="113" t="str">
        <f>'II-4'!D26</f>
        <v>P</v>
      </c>
      <c r="E23" s="114" t="str">
        <f>'II-4'!E26</f>
        <v>3204355209770004</v>
      </c>
      <c r="F23" s="115" t="str">
        <f>'II-4'!G26</f>
        <v>KP. CIPEUNDEUY RT 01 RW 06</v>
      </c>
      <c r="G23" s="112" t="str">
        <f>Source!$B$4</f>
        <v>MEKARPAWITAN</v>
      </c>
      <c r="H23" s="112" t="str">
        <f>Source!$B$3</f>
        <v>PASEH</v>
      </c>
      <c r="I23" s="112" t="str">
        <f>Source!$B$2</f>
        <v>BANDUNG</v>
      </c>
      <c r="J23" s="112" t="s">
        <v>176</v>
      </c>
      <c r="K23" s="112" t="s">
        <v>366</v>
      </c>
      <c r="L23" s="116">
        <v>46115</v>
      </c>
      <c r="M23" s="117" t="s">
        <v>391</v>
      </c>
      <c r="N23" s="117" t="s">
        <v>392</v>
      </c>
      <c r="O23" s="93" t="s">
        <v>310</v>
      </c>
      <c r="P23" s="94" t="s">
        <v>311</v>
      </c>
      <c r="Q23" s="95" t="s">
        <v>233</v>
      </c>
      <c r="R23" s="41"/>
      <c r="S23" s="41"/>
    </row>
    <row r="24" spans="1:19" ht="20.25" customHeight="1" x14ac:dyDescent="0.25">
      <c r="A24" s="112">
        <f t="shared" si="0"/>
        <v>15</v>
      </c>
      <c r="B24" s="113"/>
      <c r="C24" s="114" t="str">
        <f>'II-4'!C27</f>
        <v>KOSWANDI</v>
      </c>
      <c r="D24" s="113" t="str">
        <f>'II-4'!D27</f>
        <v>L</v>
      </c>
      <c r="E24" s="114" t="str">
        <f>'II-4'!E27</f>
        <v>3204352101810001</v>
      </c>
      <c r="F24" s="115" t="str">
        <f>'II-4'!G27</f>
        <v>KP. CIPEUNDEUY RT 01 RW 06</v>
      </c>
      <c r="G24" s="112" t="str">
        <f>Source!$B$4</f>
        <v>MEKARPAWITAN</v>
      </c>
      <c r="H24" s="112" t="str">
        <f>Source!$B$3</f>
        <v>PASEH</v>
      </c>
      <c r="I24" s="112" t="str">
        <f>Source!$B$2</f>
        <v>BANDUNG</v>
      </c>
      <c r="J24" s="112" t="s">
        <v>176</v>
      </c>
      <c r="K24" s="112" t="s">
        <v>366</v>
      </c>
      <c r="L24" s="116">
        <v>46115</v>
      </c>
      <c r="M24" s="166" t="s">
        <v>393</v>
      </c>
      <c r="N24" s="166" t="s">
        <v>394</v>
      </c>
      <c r="O24" s="93" t="s">
        <v>315</v>
      </c>
      <c r="P24" s="94" t="s">
        <v>316</v>
      </c>
      <c r="Q24" s="95" t="s">
        <v>233</v>
      </c>
      <c r="R24" s="41"/>
      <c r="S24" s="41"/>
    </row>
    <row r="25" spans="1:19" ht="20.25" customHeight="1" x14ac:dyDescent="0.25">
      <c r="A25" s="112">
        <f t="shared" si="0"/>
        <v>16</v>
      </c>
      <c r="B25" s="113"/>
      <c r="C25" s="114" t="str">
        <f>'II-4'!C28</f>
        <v>AYI HARDIANSAH</v>
      </c>
      <c r="D25" s="113" t="str">
        <f>'II-4'!D28</f>
        <v>L</v>
      </c>
      <c r="E25" s="114" t="str">
        <f>'II-4'!E28</f>
        <v>3204350707710003</v>
      </c>
      <c r="F25" s="115" t="str">
        <f>'II-4'!G28</f>
        <v>KP. JATI RT 01 RW 03</v>
      </c>
      <c r="G25" s="112" t="str">
        <f>Source!$B$4</f>
        <v>MEKARPAWITAN</v>
      </c>
      <c r="H25" s="112" t="str">
        <f>Source!$B$3</f>
        <v>PASEH</v>
      </c>
      <c r="I25" s="112" t="str">
        <f>Source!$B$2</f>
        <v>BANDUNG</v>
      </c>
      <c r="J25" s="112" t="s">
        <v>176</v>
      </c>
      <c r="K25" s="112" t="s">
        <v>366</v>
      </c>
      <c r="L25" s="116">
        <v>46115</v>
      </c>
      <c r="M25" s="117" t="s">
        <v>395</v>
      </c>
      <c r="N25" s="166" t="s">
        <v>402</v>
      </c>
      <c r="O25" s="93" t="s">
        <v>321</v>
      </c>
      <c r="P25" s="94" t="s">
        <v>322</v>
      </c>
      <c r="Q25" s="95" t="s">
        <v>233</v>
      </c>
      <c r="R25" s="41"/>
      <c r="S25" s="41"/>
    </row>
    <row r="26" spans="1:19" ht="20.25" customHeight="1" x14ac:dyDescent="0.25">
      <c r="A26" s="112">
        <f t="shared" si="0"/>
        <v>17</v>
      </c>
      <c r="B26" s="113"/>
      <c r="C26" s="114" t="str">
        <f>'II-4'!C29</f>
        <v>DEWI</v>
      </c>
      <c r="D26" s="113" t="str">
        <f>'II-4'!D29</f>
        <v>P</v>
      </c>
      <c r="E26" s="114" t="str">
        <f>'II-4'!E29</f>
        <v>3204355212730003</v>
      </c>
      <c r="F26" s="115" t="str">
        <f>'II-4'!G29</f>
        <v>KP. JATI RT 03 RW 04</v>
      </c>
      <c r="G26" s="112" t="str">
        <f>Source!$B$4</f>
        <v>MEKARPAWITAN</v>
      </c>
      <c r="H26" s="112" t="str">
        <f>Source!$B$3</f>
        <v>PASEH</v>
      </c>
      <c r="I26" s="112" t="str">
        <f>Source!$B$2</f>
        <v>BANDUNG</v>
      </c>
      <c r="J26" s="112" t="s">
        <v>176</v>
      </c>
      <c r="K26" s="112" t="s">
        <v>366</v>
      </c>
      <c r="L26" s="116">
        <v>46115</v>
      </c>
      <c r="M26" s="117" t="s">
        <v>396</v>
      </c>
      <c r="N26" s="117" t="s">
        <v>397</v>
      </c>
      <c r="O26" s="93" t="s">
        <v>327</v>
      </c>
      <c r="P26" s="94" t="s">
        <v>328</v>
      </c>
      <c r="Q26" s="95" t="s">
        <v>233</v>
      </c>
      <c r="R26" s="41"/>
      <c r="S26" s="41"/>
    </row>
    <row r="27" spans="1:19" ht="20.25" customHeight="1" x14ac:dyDescent="0.25">
      <c r="A27" s="112">
        <f t="shared" si="0"/>
        <v>18</v>
      </c>
      <c r="B27" s="113"/>
      <c r="C27" s="114" t="str">
        <f>'II-4'!C30</f>
        <v>ENTAR</v>
      </c>
      <c r="D27" s="113" t="str">
        <f>'II-4'!D30</f>
        <v>P</v>
      </c>
      <c r="E27" s="114" t="str">
        <f>'II-4'!E30</f>
        <v>3204354204480006</v>
      </c>
      <c r="F27" s="115" t="str">
        <f>'II-4'!G30</f>
        <v>BOJONG BECIK RT 01 RW 07</v>
      </c>
      <c r="G27" s="112" t="str">
        <f>Source!$B$4</f>
        <v>MEKARPAWITAN</v>
      </c>
      <c r="H27" s="112" t="str">
        <f>Source!$B$3</f>
        <v>PASEH</v>
      </c>
      <c r="I27" s="112" t="str">
        <f>Source!$B$2</f>
        <v>BANDUNG</v>
      </c>
      <c r="J27" s="112" t="s">
        <v>176</v>
      </c>
      <c r="K27" s="112" t="s">
        <v>366</v>
      </c>
      <c r="L27" s="116">
        <v>46115</v>
      </c>
      <c r="M27" s="117" t="s">
        <v>398</v>
      </c>
      <c r="N27" s="117" t="s">
        <v>399</v>
      </c>
      <c r="O27" s="93" t="s">
        <v>333</v>
      </c>
      <c r="P27" s="94" t="s">
        <v>334</v>
      </c>
      <c r="Q27" s="95" t="s">
        <v>233</v>
      </c>
      <c r="R27" s="41"/>
      <c r="S27" s="41"/>
    </row>
    <row r="28" spans="1:19" ht="20.25" customHeight="1" x14ac:dyDescent="0.25">
      <c r="A28" s="112">
        <f t="shared" si="0"/>
        <v>19</v>
      </c>
      <c r="B28" s="113"/>
      <c r="C28" s="114" t="str">
        <f>'II-4'!C31</f>
        <v>ENENG ANI</v>
      </c>
      <c r="D28" s="113" t="str">
        <f>'II-4'!D31</f>
        <v>P</v>
      </c>
      <c r="E28" s="114" t="str">
        <f>'II-4'!E31</f>
        <v>3204355107900005</v>
      </c>
      <c r="F28" s="115" t="str">
        <f>'II-4'!G31</f>
        <v>KP. BOJONG BECIK RT 02 RW 08</v>
      </c>
      <c r="G28" s="112" t="str">
        <f>Source!$B$4</f>
        <v>MEKARPAWITAN</v>
      </c>
      <c r="H28" s="112" t="str">
        <f>Source!$B$3</f>
        <v>PASEH</v>
      </c>
      <c r="I28" s="112" t="str">
        <f>Source!$B$2</f>
        <v>BANDUNG</v>
      </c>
      <c r="J28" s="112" t="s">
        <v>176</v>
      </c>
      <c r="K28" s="112" t="s">
        <v>366</v>
      </c>
      <c r="L28" s="116">
        <v>46115</v>
      </c>
      <c r="M28" s="117" t="s">
        <v>400</v>
      </c>
      <c r="N28" s="117" t="s">
        <v>401</v>
      </c>
      <c r="O28" s="93" t="s">
        <v>339</v>
      </c>
      <c r="P28" s="94" t="s">
        <v>340</v>
      </c>
      <c r="Q28" s="95" t="s">
        <v>233</v>
      </c>
      <c r="R28" s="41"/>
      <c r="S28" s="41"/>
    </row>
    <row r="29" spans="1:19" ht="20.25" customHeight="1" x14ac:dyDescent="0.25">
      <c r="P29" s="42"/>
      <c r="Q29" s="42"/>
      <c r="R29" s="41"/>
      <c r="S29" s="41"/>
    </row>
    <row r="30" spans="1:19" ht="20.25" customHeight="1" x14ac:dyDescent="0.25">
      <c r="K30" s="47"/>
      <c r="L30" s="256" t="s">
        <v>180</v>
      </c>
      <c r="M30" s="256"/>
      <c r="N30" s="256"/>
      <c r="O30" s="43"/>
      <c r="P30" s="42"/>
      <c r="Q30" s="42"/>
      <c r="R30" s="41"/>
      <c r="S30" s="41"/>
    </row>
    <row r="31" spans="1:19" ht="20.25" customHeight="1" x14ac:dyDescent="0.25">
      <c r="B31" s="44"/>
      <c r="K31" s="47"/>
      <c r="L31" s="256" t="str">
        <f>IF('II-4'!A5="Desa","Kepala Desa","Lurah")</f>
        <v>Kepala Desa</v>
      </c>
      <c r="M31" s="256"/>
      <c r="N31" s="256"/>
      <c r="O31" s="43"/>
      <c r="P31" s="42"/>
      <c r="Q31" s="42"/>
      <c r="R31" s="41"/>
      <c r="S31" s="41"/>
    </row>
    <row r="32" spans="1:19" ht="20.25" customHeight="1" x14ac:dyDescent="0.25">
      <c r="K32" s="47"/>
      <c r="L32" s="256" t="str">
        <f>PROPER(Source!B4)</f>
        <v>Mekarpawitan</v>
      </c>
      <c r="M32" s="256"/>
      <c r="N32" s="256"/>
      <c r="O32" s="43"/>
      <c r="P32" s="42"/>
      <c r="Q32" s="42"/>
      <c r="R32" s="41"/>
      <c r="S32" s="41"/>
    </row>
    <row r="33" spans="11:19" ht="20.25" customHeight="1" x14ac:dyDescent="0.25">
      <c r="K33" s="47"/>
      <c r="L33" s="71"/>
      <c r="M33" s="71"/>
      <c r="N33" s="71"/>
      <c r="O33" s="43"/>
      <c r="P33" s="42"/>
      <c r="Q33" s="42"/>
      <c r="R33" s="41"/>
      <c r="S33" s="41"/>
    </row>
    <row r="34" spans="11:19" ht="20.25" customHeight="1" x14ac:dyDescent="0.3">
      <c r="L34" s="72"/>
      <c r="M34" s="73"/>
      <c r="N34" s="73"/>
      <c r="R34" s="41"/>
      <c r="S34" s="41"/>
    </row>
    <row r="35" spans="11:19" ht="20.25" customHeight="1" x14ac:dyDescent="0.3">
      <c r="L35" s="72"/>
      <c r="M35" s="73"/>
      <c r="N35" s="73"/>
      <c r="P35" s="45"/>
      <c r="Q35" s="45"/>
      <c r="R35" s="41"/>
      <c r="S35" s="41"/>
    </row>
    <row r="36" spans="11:19" ht="20.25" customHeight="1" x14ac:dyDescent="0.3">
      <c r="L36" s="72"/>
      <c r="M36" s="73"/>
      <c r="N36" s="73"/>
      <c r="R36" s="41"/>
      <c r="S36" s="41"/>
    </row>
    <row r="37" spans="11:19" ht="20.25" customHeight="1" x14ac:dyDescent="0.3">
      <c r="L37" s="254" t="str">
        <f>Source!B5</f>
        <v>Tonton</v>
      </c>
      <c r="M37" s="254"/>
      <c r="N37" s="254"/>
      <c r="R37" s="41"/>
      <c r="S37" s="41"/>
    </row>
    <row r="38" spans="11:19" ht="20.25" customHeight="1" x14ac:dyDescent="0.3">
      <c r="L38" s="253" t="str">
        <f>IF(Source!A4="Desa","","NIP. "&amp;Source!B6)</f>
        <v/>
      </c>
      <c r="M38" s="253"/>
      <c r="N38" s="253"/>
      <c r="R38" s="41"/>
      <c r="S38" s="41"/>
    </row>
    <row r="39" spans="11:19" ht="20.25" customHeight="1" x14ac:dyDescent="0.25">
      <c r="R39" s="41"/>
      <c r="S39" s="41"/>
    </row>
    <row r="40" spans="11:19" ht="20.25" customHeight="1" x14ac:dyDescent="0.25">
      <c r="R40" s="41"/>
      <c r="S40" s="41"/>
    </row>
    <row r="41" spans="11:19" ht="20.25" customHeight="1" x14ac:dyDescent="0.25">
      <c r="R41" s="41"/>
      <c r="S41" s="41"/>
    </row>
    <row r="42" spans="11:19" ht="20.25" customHeight="1" x14ac:dyDescent="0.25">
      <c r="R42" s="41"/>
      <c r="S42" s="41"/>
    </row>
    <row r="43" spans="11:19" ht="20.25" customHeight="1" x14ac:dyDescent="0.25">
      <c r="R43" s="41"/>
      <c r="S43" s="41"/>
    </row>
    <row r="47" spans="11:19" ht="20.25" customHeight="1" x14ac:dyDescent="0.25">
      <c r="P47" s="31"/>
      <c r="Q47" s="31"/>
    </row>
    <row r="48" spans="11:19" ht="20.25" customHeight="1" x14ac:dyDescent="0.25">
      <c r="P48" s="31"/>
      <c r="Q48" s="31"/>
    </row>
    <row r="53" spans="16:17" ht="20.25" customHeight="1" x14ac:dyDescent="0.25">
      <c r="P53" s="25"/>
      <c r="Q53" s="25"/>
    </row>
    <row r="61" spans="16:17" ht="20.25" customHeight="1" x14ac:dyDescent="0.25">
      <c r="P61" s="6"/>
      <c r="Q61" s="6"/>
    </row>
  </sheetData>
  <mergeCells count="24">
    <mergeCell ref="O6:Q6"/>
    <mergeCell ref="Q8:Q9"/>
    <mergeCell ref="F8:F9"/>
    <mergeCell ref="G8:G9"/>
    <mergeCell ref="H8:H9"/>
    <mergeCell ref="I8:I9"/>
    <mergeCell ref="J8:J9"/>
    <mergeCell ref="K8:L8"/>
    <mergeCell ref="M8:N8"/>
    <mergeCell ref="O8:O9"/>
    <mergeCell ref="P8:P9"/>
    <mergeCell ref="L38:N38"/>
    <mergeCell ref="L37:N37"/>
    <mergeCell ref="A3:N3"/>
    <mergeCell ref="A4:N4"/>
    <mergeCell ref="A5:N5"/>
    <mergeCell ref="L32:N32"/>
    <mergeCell ref="L31:N31"/>
    <mergeCell ref="L30:N30"/>
    <mergeCell ref="A8:A9"/>
    <mergeCell ref="B8:B9"/>
    <mergeCell ref="C8:C9"/>
    <mergeCell ref="D8:D9"/>
    <mergeCell ref="E8:E9"/>
  </mergeCells>
  <phoneticPr fontId="10" type="noConversion"/>
  <dataValidations count="1">
    <dataValidation type="list" allowBlank="1" showInputMessage="1" showErrorMessage="1" sqref="J10:J28" xr:uid="{00000000-0002-0000-0400-000000000000}">
      <formula1>$S$10:$S$11</formula1>
    </dataValidation>
  </dataValidations>
  <pageMargins left="0.56999999999999995" right="0.27559055118110237" top="0.19685039370078741" bottom="0.74803149606299213" header="0.15748031496062992" footer="0.31496062992125984"/>
  <pageSetup paperSize="9" scale="51"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6"/>
  <sheetViews>
    <sheetView tabSelected="1" view="pageBreakPreview" topLeftCell="H1" zoomScale="58" zoomScaleNormal="58" zoomScaleSheetLayoutView="58" workbookViewId="0">
      <selection activeCell="O11" sqref="O11:P11"/>
    </sheetView>
  </sheetViews>
  <sheetFormatPr defaultColWidth="10.85546875" defaultRowHeight="15.75" x14ac:dyDescent="0.25"/>
  <cols>
    <col min="1" max="1" width="4.42578125" style="59" bestFit="1" customWidth="1"/>
    <col min="2" max="2" width="19.7109375" style="59" customWidth="1"/>
    <col min="3" max="3" width="12.42578125" style="59" customWidth="1"/>
    <col min="4" max="4" width="22.140625" style="59" customWidth="1"/>
    <col min="5" max="5" width="45.140625" style="60" customWidth="1"/>
    <col min="6" max="6" width="18.140625" style="59" customWidth="1"/>
    <col min="7" max="7" width="23.5703125" style="59" customWidth="1"/>
    <col min="8" max="8" width="24.140625" style="59" customWidth="1"/>
    <col min="9" max="9" width="11.5703125" style="59" customWidth="1"/>
    <col min="10" max="10" width="24.28515625" style="59" customWidth="1"/>
    <col min="11" max="11" width="36.42578125" style="60" customWidth="1"/>
    <col min="12" max="12" width="16.140625" style="59" customWidth="1"/>
    <col min="13" max="13" width="10.28515625" style="59" customWidth="1"/>
    <col min="14" max="14" width="13.85546875" style="59" customWidth="1"/>
    <col min="15" max="15" width="11.5703125" style="59" customWidth="1"/>
    <col min="16" max="16" width="14" style="59" customWidth="1"/>
    <col min="17" max="17" width="29.7109375" style="59" customWidth="1"/>
    <col min="18" max="18" width="28.7109375" style="70" bestFit="1" customWidth="1"/>
    <col min="19" max="19" width="22" style="70" bestFit="1" customWidth="1"/>
    <col min="20" max="20" width="22.42578125" style="59" customWidth="1"/>
    <col min="21" max="16384" width="10.85546875" style="59"/>
  </cols>
  <sheetData>
    <row r="1" spans="1:20" x14ac:dyDescent="0.25">
      <c r="Q1" s="61" t="s">
        <v>58</v>
      </c>
      <c r="R1" s="62"/>
      <c r="S1" s="62"/>
    </row>
    <row r="2" spans="1:20" x14ac:dyDescent="0.25">
      <c r="R2" s="62"/>
      <c r="S2" s="62"/>
    </row>
    <row r="3" spans="1:20" x14ac:dyDescent="0.25">
      <c r="A3" s="269" t="s">
        <v>57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63"/>
      <c r="S3" s="63"/>
    </row>
    <row r="4" spans="1:20" x14ac:dyDescent="0.25">
      <c r="A4" s="270" t="s">
        <v>204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63"/>
      <c r="S4" s="63"/>
    </row>
    <row r="5" spans="1:20" x14ac:dyDescent="0.25">
      <c r="A5" s="267" t="s">
        <v>21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63"/>
      <c r="S5" s="63"/>
    </row>
    <row r="6" spans="1:20" x14ac:dyDescent="0.25">
      <c r="R6" s="244" t="str">
        <f>'II-5a'!O6</f>
        <v>Diisi juga kolom ini</v>
      </c>
      <c r="S6" s="244"/>
      <c r="T6" s="244"/>
    </row>
    <row r="8" spans="1:20" ht="15.75" customHeight="1" x14ac:dyDescent="0.25">
      <c r="A8" s="265" t="s">
        <v>54</v>
      </c>
      <c r="B8" s="265" t="s">
        <v>7</v>
      </c>
      <c r="C8" s="265"/>
      <c r="D8" s="265"/>
      <c r="E8" s="265"/>
      <c r="F8" s="265"/>
      <c r="G8" s="265"/>
      <c r="H8" s="265" t="s">
        <v>8</v>
      </c>
      <c r="I8" s="265"/>
      <c r="J8" s="265"/>
      <c r="K8" s="265"/>
      <c r="L8" s="265"/>
      <c r="M8" s="265" t="s">
        <v>53</v>
      </c>
      <c r="N8" s="265"/>
      <c r="O8" s="271" t="s">
        <v>172</v>
      </c>
      <c r="P8" s="272"/>
      <c r="Q8" s="258" t="s">
        <v>56</v>
      </c>
      <c r="R8" s="263" t="s">
        <v>207</v>
      </c>
      <c r="S8" s="263" t="s">
        <v>166</v>
      </c>
      <c r="T8" s="263" t="s">
        <v>210</v>
      </c>
    </row>
    <row r="9" spans="1:20" ht="47.25" x14ac:dyDescent="0.25">
      <c r="A9" s="265"/>
      <c r="B9" s="65" t="s">
        <v>0</v>
      </c>
      <c r="C9" s="65" t="s">
        <v>1</v>
      </c>
      <c r="D9" s="65" t="s">
        <v>28</v>
      </c>
      <c r="E9" s="65" t="s">
        <v>2</v>
      </c>
      <c r="F9" s="65" t="str">
        <f>UPPER(Source!A4)</f>
        <v>DESA</v>
      </c>
      <c r="G9" s="65" t="s">
        <v>39</v>
      </c>
      <c r="H9" s="65" t="s">
        <v>0</v>
      </c>
      <c r="I9" s="65" t="s">
        <v>1</v>
      </c>
      <c r="J9" s="65" t="s">
        <v>28</v>
      </c>
      <c r="K9" s="65" t="s">
        <v>2</v>
      </c>
      <c r="L9" s="65" t="str">
        <f>UPPER(Source!A4)</f>
        <v>DESA</v>
      </c>
      <c r="M9" s="65" t="s">
        <v>52</v>
      </c>
      <c r="N9" s="65" t="s">
        <v>51</v>
      </c>
      <c r="O9" s="66" t="s">
        <v>173</v>
      </c>
      <c r="P9" s="66" t="s">
        <v>35</v>
      </c>
      <c r="Q9" s="259"/>
      <c r="R9" s="264"/>
      <c r="S9" s="264"/>
      <c r="T9" s="264"/>
    </row>
    <row r="10" spans="1:20" s="79" customFormat="1" ht="30.75" customHeight="1" x14ac:dyDescent="0.25">
      <c r="A10" s="118">
        <v>1</v>
      </c>
      <c r="B10" s="154" t="s">
        <v>341</v>
      </c>
      <c r="C10" s="119" t="s">
        <v>226</v>
      </c>
      <c r="D10" s="155" t="s">
        <v>342</v>
      </c>
      <c r="E10" s="154" t="s">
        <v>297</v>
      </c>
      <c r="F10" s="120" t="str">
        <f>Source!$B$4</f>
        <v>MEKARPAWITAN</v>
      </c>
      <c r="G10" s="156" t="s">
        <v>186</v>
      </c>
      <c r="H10" s="159" t="s">
        <v>294</v>
      </c>
      <c r="I10" s="113" t="s">
        <v>241</v>
      </c>
      <c r="J10" s="160" t="s">
        <v>295</v>
      </c>
      <c r="K10" s="159" t="s">
        <v>297</v>
      </c>
      <c r="L10" s="121" t="str">
        <f>Source!$B$4</f>
        <v>MEKARPAWITAN</v>
      </c>
      <c r="M10" s="121" t="str">
        <f>'II-5a'!K23</f>
        <v>II</v>
      </c>
      <c r="N10" s="116">
        <f>'II-5a'!L23</f>
        <v>46115</v>
      </c>
      <c r="O10" s="117" t="s">
        <v>389</v>
      </c>
      <c r="P10" s="117" t="s">
        <v>390</v>
      </c>
      <c r="Q10" s="122"/>
      <c r="R10" s="93" t="s">
        <v>298</v>
      </c>
      <c r="S10" s="94" t="s">
        <v>299</v>
      </c>
      <c r="T10" s="95" t="s">
        <v>233</v>
      </c>
    </row>
    <row r="11" spans="1:20" s="79" customFormat="1" ht="30.75" customHeight="1" x14ac:dyDescent="0.25">
      <c r="A11" s="118">
        <v>2</v>
      </c>
      <c r="B11" s="157" t="s">
        <v>343</v>
      </c>
      <c r="C11" s="119" t="s">
        <v>226</v>
      </c>
      <c r="D11" s="155" t="s">
        <v>344</v>
      </c>
      <c r="E11" s="158" t="s">
        <v>303</v>
      </c>
      <c r="F11" s="120" t="str">
        <f>Source!$B$4</f>
        <v>MEKARPAWITAN</v>
      </c>
      <c r="G11" s="156" t="s">
        <v>175</v>
      </c>
      <c r="H11" s="159" t="s">
        <v>300</v>
      </c>
      <c r="I11" s="113" t="s">
        <v>241</v>
      </c>
      <c r="J11" s="160" t="s">
        <v>301</v>
      </c>
      <c r="K11" s="159" t="s">
        <v>303</v>
      </c>
      <c r="L11" s="121" t="str">
        <f>Source!$B$4</f>
        <v>MEKARPAWITAN</v>
      </c>
      <c r="M11" s="121" t="str">
        <f>'II-5a'!K24</f>
        <v>II</v>
      </c>
      <c r="N11" s="116">
        <f>'II-5a'!L24</f>
        <v>46115</v>
      </c>
      <c r="O11" s="117"/>
      <c r="P11" s="117"/>
      <c r="Q11" s="122"/>
      <c r="R11" s="93" t="s">
        <v>304</v>
      </c>
      <c r="S11" s="94" t="s">
        <v>305</v>
      </c>
      <c r="T11" s="95" t="s">
        <v>233</v>
      </c>
    </row>
    <row r="12" spans="1:20" s="79" customFormat="1" ht="30.75" customHeight="1" x14ac:dyDescent="0.25">
      <c r="A12" s="118">
        <v>3</v>
      </c>
      <c r="B12" s="157" t="s">
        <v>346</v>
      </c>
      <c r="C12" s="119" t="s">
        <v>226</v>
      </c>
      <c r="D12" s="155" t="s">
        <v>347</v>
      </c>
      <c r="E12" s="157" t="s">
        <v>349</v>
      </c>
      <c r="F12" s="120" t="str">
        <f>Source!$B$4</f>
        <v>MEKARPAWITAN</v>
      </c>
      <c r="G12" s="156" t="s">
        <v>186</v>
      </c>
      <c r="H12" s="161" t="s">
        <v>306</v>
      </c>
      <c r="I12" s="113" t="s">
        <v>241</v>
      </c>
      <c r="J12" s="162" t="s">
        <v>307</v>
      </c>
      <c r="K12" s="163" t="s">
        <v>309</v>
      </c>
      <c r="L12" s="121" t="str">
        <f>Source!$B$4</f>
        <v>MEKARPAWITAN</v>
      </c>
      <c r="M12" s="121" t="str">
        <f>'II-5a'!K25</f>
        <v>II</v>
      </c>
      <c r="N12" s="116">
        <f>'II-5a'!L25</f>
        <v>46115</v>
      </c>
      <c r="O12" s="117" t="s">
        <v>391</v>
      </c>
      <c r="P12" s="117" t="s">
        <v>392</v>
      </c>
      <c r="Q12" s="122"/>
      <c r="R12" s="93" t="s">
        <v>310</v>
      </c>
      <c r="S12" s="94" t="s">
        <v>311</v>
      </c>
      <c r="T12" s="95" t="s">
        <v>233</v>
      </c>
    </row>
    <row r="13" spans="1:20" s="79" customFormat="1" ht="30.75" customHeight="1" x14ac:dyDescent="0.25">
      <c r="A13" s="118">
        <v>4</v>
      </c>
      <c r="B13" s="157" t="s">
        <v>350</v>
      </c>
      <c r="C13" s="119" t="s">
        <v>226</v>
      </c>
      <c r="D13" s="155" t="s">
        <v>351</v>
      </c>
      <c r="E13" s="157" t="s">
        <v>353</v>
      </c>
      <c r="F13" s="120" t="str">
        <f>Source!$B$4</f>
        <v>MEKARPAWITAN</v>
      </c>
      <c r="G13" s="156" t="s">
        <v>217</v>
      </c>
      <c r="H13" s="164" t="s">
        <v>312</v>
      </c>
      <c r="I13" s="113" t="s">
        <v>226</v>
      </c>
      <c r="J13" s="165" t="s">
        <v>313</v>
      </c>
      <c r="K13" s="164" t="s">
        <v>309</v>
      </c>
      <c r="L13" s="121" t="str">
        <f>Source!$B$4</f>
        <v>MEKARPAWITAN</v>
      </c>
      <c r="M13" s="121" t="str">
        <f>'II-5a'!K26</f>
        <v>II</v>
      </c>
      <c r="N13" s="116">
        <f>'II-5a'!L26</f>
        <v>46115</v>
      </c>
      <c r="O13" s="117" t="s">
        <v>393</v>
      </c>
      <c r="P13" s="117" t="s">
        <v>394</v>
      </c>
      <c r="Q13" s="122"/>
      <c r="R13" s="93" t="s">
        <v>315</v>
      </c>
      <c r="S13" s="94" t="s">
        <v>316</v>
      </c>
      <c r="T13" s="95" t="s">
        <v>233</v>
      </c>
    </row>
    <row r="14" spans="1:20" s="79" customFormat="1" ht="30.75" customHeight="1" x14ac:dyDescent="0.25">
      <c r="A14" s="118">
        <v>5</v>
      </c>
      <c r="B14" s="157" t="s">
        <v>354</v>
      </c>
      <c r="C14" s="119" t="s">
        <v>226</v>
      </c>
      <c r="D14" s="155" t="s">
        <v>355</v>
      </c>
      <c r="E14" s="157" t="s">
        <v>320</v>
      </c>
      <c r="F14" s="120" t="str">
        <f>Source!$B$4</f>
        <v>MEKARPAWITAN</v>
      </c>
      <c r="G14" s="156" t="s">
        <v>186</v>
      </c>
      <c r="H14" s="164" t="s">
        <v>317</v>
      </c>
      <c r="I14" s="113" t="s">
        <v>226</v>
      </c>
      <c r="J14" s="162" t="s">
        <v>318</v>
      </c>
      <c r="K14" s="164" t="s">
        <v>320</v>
      </c>
      <c r="L14" s="121" t="str">
        <f>Source!$B$4</f>
        <v>MEKARPAWITAN</v>
      </c>
      <c r="M14" s="121" t="str">
        <f>'II-5a'!K27</f>
        <v>II</v>
      </c>
      <c r="N14" s="116">
        <f>'II-5a'!L27</f>
        <v>46115</v>
      </c>
      <c r="O14" s="117" t="s">
        <v>395</v>
      </c>
      <c r="P14" s="117" t="s">
        <v>402</v>
      </c>
      <c r="Q14" s="122"/>
      <c r="R14" s="93" t="s">
        <v>321</v>
      </c>
      <c r="S14" s="94" t="s">
        <v>322</v>
      </c>
      <c r="T14" s="95" t="s">
        <v>233</v>
      </c>
    </row>
    <row r="15" spans="1:20" s="79" customFormat="1" ht="30.75" customHeight="1" x14ac:dyDescent="0.25">
      <c r="A15" s="118">
        <v>6</v>
      </c>
      <c r="B15" s="157" t="s">
        <v>357</v>
      </c>
      <c r="C15" s="119" t="s">
        <v>226</v>
      </c>
      <c r="D15" s="155" t="s">
        <v>358</v>
      </c>
      <c r="E15" s="154" t="s">
        <v>326</v>
      </c>
      <c r="F15" s="120" t="str">
        <f>Source!$B$4</f>
        <v>MEKARPAWITAN</v>
      </c>
      <c r="G15" s="156" t="s">
        <v>175</v>
      </c>
      <c r="H15" s="164" t="s">
        <v>323</v>
      </c>
      <c r="I15" s="113" t="s">
        <v>241</v>
      </c>
      <c r="J15" s="162" t="s">
        <v>324</v>
      </c>
      <c r="K15" s="164" t="s">
        <v>326</v>
      </c>
      <c r="L15" s="121" t="str">
        <f>Source!$B$4</f>
        <v>MEKARPAWITAN</v>
      </c>
      <c r="M15" s="121" t="s">
        <v>366</v>
      </c>
      <c r="N15" s="116">
        <f>'II-5a'!L28</f>
        <v>46115</v>
      </c>
      <c r="O15" s="117" t="s">
        <v>396</v>
      </c>
      <c r="P15" s="117" t="s">
        <v>397</v>
      </c>
      <c r="Q15" s="122"/>
      <c r="R15" s="93" t="s">
        <v>327</v>
      </c>
      <c r="S15" s="94" t="s">
        <v>328</v>
      </c>
      <c r="T15" s="95" t="s">
        <v>233</v>
      </c>
    </row>
    <row r="16" spans="1:20" s="79" customFormat="1" ht="30.75" customHeight="1" x14ac:dyDescent="0.25">
      <c r="A16" s="118">
        <v>7</v>
      </c>
      <c r="B16" s="157" t="s">
        <v>359</v>
      </c>
      <c r="C16" s="119" t="s">
        <v>226</v>
      </c>
      <c r="D16" s="155" t="s">
        <v>360</v>
      </c>
      <c r="E16" s="157" t="s">
        <v>362</v>
      </c>
      <c r="F16" s="120" t="str">
        <f>Source!$B$4</f>
        <v>MEKARPAWITAN</v>
      </c>
      <c r="G16" s="156" t="s">
        <v>174</v>
      </c>
      <c r="H16" s="164" t="s">
        <v>329</v>
      </c>
      <c r="I16" s="113" t="s">
        <v>241</v>
      </c>
      <c r="J16" s="162" t="s">
        <v>330</v>
      </c>
      <c r="K16" s="164" t="s">
        <v>332</v>
      </c>
      <c r="L16" s="121" t="str">
        <f>Source!$B$4</f>
        <v>MEKARPAWITAN</v>
      </c>
      <c r="M16" s="121" t="s">
        <v>366</v>
      </c>
      <c r="N16" s="116">
        <v>46115</v>
      </c>
      <c r="O16" s="117" t="s">
        <v>398</v>
      </c>
      <c r="P16" s="117" t="s">
        <v>399</v>
      </c>
      <c r="Q16" s="122"/>
      <c r="R16" s="93" t="s">
        <v>333</v>
      </c>
      <c r="S16" s="94" t="s">
        <v>334</v>
      </c>
      <c r="T16" s="95" t="s">
        <v>233</v>
      </c>
    </row>
    <row r="17" spans="1:20" s="79" customFormat="1" ht="30.75" customHeight="1" x14ac:dyDescent="0.25">
      <c r="A17" s="118">
        <v>8</v>
      </c>
      <c r="B17" s="157" t="s">
        <v>340</v>
      </c>
      <c r="C17" s="119" t="s">
        <v>241</v>
      </c>
      <c r="D17" s="155" t="s">
        <v>363</v>
      </c>
      <c r="E17" s="157" t="s">
        <v>338</v>
      </c>
      <c r="F17" s="120" t="str">
        <f>Source!$B$4</f>
        <v>MEKARPAWITAN</v>
      </c>
      <c r="G17" s="156" t="s">
        <v>174</v>
      </c>
      <c r="H17" s="164" t="s">
        <v>335</v>
      </c>
      <c r="I17" s="113" t="s">
        <v>241</v>
      </c>
      <c r="J17" s="162" t="s">
        <v>336</v>
      </c>
      <c r="K17" s="164" t="s">
        <v>338</v>
      </c>
      <c r="L17" s="121" t="str">
        <f>Source!$B$4</f>
        <v>MEKARPAWITAN</v>
      </c>
      <c r="M17" s="121" t="s">
        <v>366</v>
      </c>
      <c r="N17" s="116">
        <v>46115</v>
      </c>
      <c r="O17" s="117" t="s">
        <v>400</v>
      </c>
      <c r="P17" s="117" t="s">
        <v>401</v>
      </c>
      <c r="Q17" s="122"/>
      <c r="R17" s="93" t="s">
        <v>339</v>
      </c>
      <c r="S17" s="94" t="s">
        <v>340</v>
      </c>
      <c r="T17" s="95" t="s">
        <v>233</v>
      </c>
    </row>
    <row r="18" spans="1:20" x14ac:dyDescent="0.25">
      <c r="R18" s="68"/>
      <c r="S18" s="68"/>
    </row>
    <row r="20" spans="1:20" x14ac:dyDescent="0.25">
      <c r="B20" s="123" t="s">
        <v>38</v>
      </c>
      <c r="R20" s="69"/>
      <c r="S20" s="69"/>
    </row>
    <row r="21" spans="1:20" x14ac:dyDescent="0.25">
      <c r="B21" s="123" t="s">
        <v>165</v>
      </c>
    </row>
    <row r="22" spans="1:20" x14ac:dyDescent="0.25">
      <c r="B22" s="124" t="s">
        <v>185</v>
      </c>
    </row>
    <row r="23" spans="1:20" x14ac:dyDescent="0.25">
      <c r="B23" s="124" t="s">
        <v>186</v>
      </c>
    </row>
    <row r="24" spans="1:20" x14ac:dyDescent="0.25">
      <c r="B24" s="124" t="s">
        <v>174</v>
      </c>
    </row>
    <row r="25" spans="1:20" x14ac:dyDescent="0.25">
      <c r="B25" s="124" t="s">
        <v>187</v>
      </c>
    </row>
    <row r="26" spans="1:20" x14ac:dyDescent="0.25">
      <c r="B26" s="124" t="s">
        <v>188</v>
      </c>
    </row>
    <row r="27" spans="1:20" x14ac:dyDescent="0.25">
      <c r="B27" s="124" t="s">
        <v>189</v>
      </c>
    </row>
    <row r="28" spans="1:20" x14ac:dyDescent="0.25">
      <c r="B28" s="124" t="s">
        <v>190</v>
      </c>
    </row>
    <row r="29" spans="1:20" x14ac:dyDescent="0.25">
      <c r="B29" s="124" t="s">
        <v>191</v>
      </c>
    </row>
    <row r="30" spans="1:20" x14ac:dyDescent="0.25">
      <c r="B30" s="124" t="s">
        <v>175</v>
      </c>
    </row>
    <row r="31" spans="1:20" x14ac:dyDescent="0.25">
      <c r="O31" s="268" t="s">
        <v>180</v>
      </c>
      <c r="P31" s="268"/>
      <c r="Q31" s="268"/>
    </row>
    <row r="32" spans="1:20" x14ac:dyDescent="0.25">
      <c r="O32" s="268" t="str">
        <f>IF('II-4'!A5="Desa","Kepala Desa","Lurah")</f>
        <v>Kepala Desa</v>
      </c>
      <c r="P32" s="268"/>
      <c r="Q32" s="268"/>
      <c r="R32" s="62"/>
      <c r="S32" s="62"/>
    </row>
    <row r="33" spans="15:19" x14ac:dyDescent="0.25">
      <c r="O33" s="268" t="str">
        <f>PROPER(Source!B4)</f>
        <v>Mekarpawitan</v>
      </c>
      <c r="P33" s="268"/>
      <c r="Q33" s="268"/>
      <c r="R33" s="62"/>
      <c r="S33" s="62"/>
    </row>
    <row r="34" spans="15:19" x14ac:dyDescent="0.25">
      <c r="O34" s="76"/>
      <c r="P34" s="77"/>
      <c r="Q34" s="77"/>
    </row>
    <row r="35" spans="15:19" x14ac:dyDescent="0.25">
      <c r="P35" s="78"/>
      <c r="Q35" s="78"/>
    </row>
    <row r="36" spans="15:19" x14ac:dyDescent="0.25">
      <c r="P36" s="78"/>
      <c r="Q36" s="78"/>
    </row>
    <row r="37" spans="15:19" x14ac:dyDescent="0.25">
      <c r="P37" s="78"/>
      <c r="Q37" s="78"/>
    </row>
    <row r="38" spans="15:19" x14ac:dyDescent="0.25">
      <c r="R38" s="74"/>
      <c r="S38" s="74"/>
    </row>
    <row r="40" spans="15:19" x14ac:dyDescent="0.25">
      <c r="O40" s="266" t="str">
        <f>Source!B5</f>
        <v>Tonton</v>
      </c>
      <c r="P40" s="266"/>
      <c r="Q40" s="266"/>
    </row>
    <row r="41" spans="15:19" x14ac:dyDescent="0.25">
      <c r="O41" s="267" t="str">
        <f>IF(Source!A4="Desa","","NIP. "&amp;Source!B6)</f>
        <v/>
      </c>
      <c r="P41" s="267"/>
      <c r="Q41" s="267"/>
    </row>
    <row r="46" spans="15:19" x14ac:dyDescent="0.25">
      <c r="R46" s="75"/>
      <c r="S46" s="75"/>
    </row>
  </sheetData>
  <mergeCells count="18">
    <mergeCell ref="R6:T6"/>
    <mergeCell ref="A3:Q3"/>
    <mergeCell ref="A4:Q4"/>
    <mergeCell ref="A5:Q5"/>
    <mergeCell ref="A8:A9"/>
    <mergeCell ref="B8:G8"/>
    <mergeCell ref="H8:L8"/>
    <mergeCell ref="M8:N8"/>
    <mergeCell ref="Q8:Q9"/>
    <mergeCell ref="O8:P8"/>
    <mergeCell ref="O40:Q40"/>
    <mergeCell ref="T8:T9"/>
    <mergeCell ref="R8:R9"/>
    <mergeCell ref="S8:S9"/>
    <mergeCell ref="O41:Q41"/>
    <mergeCell ref="O31:Q31"/>
    <mergeCell ref="O32:Q32"/>
    <mergeCell ref="O33:Q33"/>
  </mergeCells>
  <phoneticPr fontId="10" type="noConversion"/>
  <conditionalFormatting sqref="B10:D17">
    <cfRule type="expression" dxfId="16" priority="15">
      <formula>$O10="TIDAK LOLOS"</formula>
    </cfRule>
    <cfRule type="expression" dxfId="15" priority="16">
      <formula>$N10="PENGGANTI"</formula>
    </cfRule>
    <cfRule type="expression" dxfId="14" priority="17">
      <formula>$N10="LOLOS"</formula>
    </cfRule>
  </conditionalFormatting>
  <conditionalFormatting sqref="D10:D17">
    <cfRule type="duplicateValues" dxfId="13" priority="14"/>
  </conditionalFormatting>
  <conditionalFormatting sqref="E10:E17">
    <cfRule type="expression" dxfId="12" priority="11">
      <formula>$O10="TIDAK LOLOS"</formula>
    </cfRule>
    <cfRule type="expression" dxfId="11" priority="12">
      <formula>$N10="PENGGANTI"</formula>
    </cfRule>
    <cfRule type="expression" dxfId="10" priority="13">
      <formula>$N10="LOLOS"</formula>
    </cfRule>
  </conditionalFormatting>
  <conditionalFormatting sqref="G10:G17">
    <cfRule type="expression" dxfId="9" priority="8">
      <formula>$O10="TIDAK LOLOS"</formula>
    </cfRule>
    <cfRule type="expression" dxfId="8" priority="9">
      <formula>$N10="PENGGANTI"</formula>
    </cfRule>
    <cfRule type="expression" dxfId="7" priority="10">
      <formula>$N10="LOLOS"</formula>
    </cfRule>
  </conditionalFormatting>
  <conditionalFormatting sqref="H10:J17">
    <cfRule type="expression" dxfId="6" priority="5">
      <formula>$O10="TIDAK LOLOS"</formula>
    </cfRule>
    <cfRule type="expression" dxfId="5" priority="6">
      <formula>$N10="PENGGANTI"</formula>
    </cfRule>
    <cfRule type="expression" dxfId="4" priority="7">
      <formula>$N10="LOLOS"</formula>
    </cfRule>
  </conditionalFormatting>
  <conditionalFormatting sqref="J10:J17">
    <cfRule type="duplicateValues" dxfId="3" priority="4"/>
  </conditionalFormatting>
  <conditionalFormatting sqref="K10:K17">
    <cfRule type="expression" dxfId="2" priority="1">
      <formula>$O10="TIDAK LOLOS"</formula>
    </cfRule>
    <cfRule type="expression" dxfId="1" priority="2">
      <formula>$N10="PENGGANTI"</formula>
    </cfRule>
    <cfRule type="expression" dxfId="0" priority="3">
      <formula>$N10="LOLOS"</formula>
    </cfRule>
  </conditionalFormatting>
  <dataValidations count="1">
    <dataValidation type="list" allowBlank="1" showInputMessage="1" showErrorMessage="1" sqref="G10:G17" xr:uid="{00000000-0002-0000-0500-000000000000}">
      <formula1>$L$43:$L$51</formula1>
    </dataValidation>
  </dataValidations>
  <pageMargins left="0.22" right="0.12" top="0.43" bottom="0.74803149606299202" header="0.24" footer="0.31496062992126"/>
  <pageSetup paperSize="9" scale="43" orientation="landscape" horizontalDpi="4294967293" r:id="rId1"/>
  <colBreaks count="1" manualBreakCount="1">
    <brk id="17" max="2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Lampiran I</vt:lpstr>
      <vt:lpstr>II-3</vt:lpstr>
      <vt:lpstr>Source</vt:lpstr>
      <vt:lpstr>II-4</vt:lpstr>
      <vt:lpstr>II-5a</vt:lpstr>
      <vt:lpstr>II-5b</vt:lpstr>
      <vt:lpstr>'II-3'!Print_Area</vt:lpstr>
      <vt:lpstr>'II-4'!Print_Area</vt:lpstr>
      <vt:lpstr>'II-5a'!Print_Area</vt:lpstr>
      <vt:lpstr>'II-5b'!Print_Area</vt:lpstr>
      <vt:lpstr>'Lampiran 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Adim</dc:creator>
  <cp:lastModifiedBy>Asus</cp:lastModifiedBy>
  <cp:lastPrinted>2026-02-21T07:07:43Z</cp:lastPrinted>
  <dcterms:created xsi:type="dcterms:W3CDTF">2021-04-17T16:24:41Z</dcterms:created>
  <dcterms:modified xsi:type="dcterms:W3CDTF">2026-04-06T00:56:14Z</dcterms:modified>
</cp:coreProperties>
</file>