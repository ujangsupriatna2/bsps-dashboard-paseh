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Lampiran I" sheetId="1" state="hidden" r:id="rId1"/>
    <sheet xmlns:r="http://schemas.openxmlformats.org/officeDocument/2006/relationships" name="II-3" sheetId="2" state="hidden" r:id="rId2"/>
    <sheet xmlns:r="http://schemas.openxmlformats.org/officeDocument/2006/relationships" name="Source" sheetId="3" state="visible" r:id="rId3"/>
    <sheet xmlns:r="http://schemas.openxmlformats.org/officeDocument/2006/relationships" name="II-4" sheetId="4" state="visible" r:id="rId4"/>
    <sheet xmlns:r="http://schemas.openxmlformats.org/officeDocument/2006/relationships" name="II-5a" sheetId="5" state="visible" r:id="rId5"/>
    <sheet xmlns:r="http://schemas.openxmlformats.org/officeDocument/2006/relationships" name="II-5b" sheetId="6" state="visible" r:id="rId6"/>
  </sheets>
  <definedNames>
    <definedName name="_xlnm.Print_Area" localSheetId="0">'Lampiran I'!$A$1:$F$11</definedName>
    <definedName name="Surat_I_9_Ref_NomorSuratLowongan" localSheetId="1">#REF!</definedName>
    <definedName name="Surat_I_9_Ref_TanggalSuratLowongan" localSheetId="1">#REF!</definedName>
    <definedName name="Surat_I_9_Tanggal" localSheetId="1">#REF!</definedName>
    <definedName name="_xlnm.Print_Area" localSheetId="1">'II-3'!$A$1:$J$81</definedName>
    <definedName name="_xlnm.Print_Area" localSheetId="3">'II-4'!$A$1:$V$69</definedName>
    <definedName name="_xlnm.Print_Area" localSheetId="4">'II-5a'!$A$1:$N$38</definedName>
    <definedName name="_xlnm.Print_Area" localSheetId="5">'II-5b'!$A$1:$Q$41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p&quot;* #,##0_-;\-&quot;Rp&quot;* #,##0_-;_-&quot;Rp&quot;* &quot;-&quot;_-;_-@_-"/>
    <numFmt numFmtId="165" formatCode="General&quot;.&quot;"/>
    <numFmt numFmtId="166" formatCode="_-* #,##0.00_-;\-* #,##0.00_-;_-* &quot;-&quot;??_-;_-@_-"/>
    <numFmt numFmtId="167" formatCode="&quot;Rp&quot;#,##0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Times New Roman"/>
      <family val="1"/>
      <color rgb="FF000000"/>
      <sz val="10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7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2" tint="-0.09997863704336681"/>
      <sz val="11"/>
      <scheme val="minor"/>
    </font>
    <font>
      <name val="Bookman Old Style"/>
      <family val="1"/>
      <sz val="12"/>
    </font>
    <font>
      <name val="Bookman Old Style"/>
      <family val="1"/>
      <color theme="1"/>
      <sz val="12"/>
    </font>
    <font>
      <name val="Bookman Old Style"/>
      <family val="1"/>
      <b val="1"/>
      <color theme="1"/>
      <sz val="12"/>
    </font>
    <font>
      <name val="Calibri"/>
      <family val="2"/>
      <b val="1"/>
      <i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color theme="2" tint="-0.0999786370433668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9"/>
      <scheme val="minor"/>
    </font>
  </fonts>
  <fills count="1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6">
    <xf numFmtId="0" fontId="5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" fillId="0" borderId="0"/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3" fillId="0" borderId="0" pivotButton="0" quotePrefix="0" xfId="0"/>
    <xf numFmtId="0" fontId="11" fillId="0" borderId="0" pivotButton="0" quotePrefix="0" xfId="0"/>
    <xf numFmtId="164" fontId="11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11" fillId="4" borderId="13" applyAlignment="1" pivotButton="0" quotePrefix="0" xfId="0">
      <alignment horizontal="center" vertical="center"/>
    </xf>
    <xf numFmtId="0" fontId="11" fillId="5" borderId="13" applyAlignment="1" pivotButton="0" quotePrefix="0" xfId="0">
      <alignment horizontal="center" vertical="center"/>
    </xf>
    <xf numFmtId="0" fontId="0" fillId="2" borderId="0" pivotButton="0" quotePrefix="0" xfId="0"/>
    <xf numFmtId="0" fontId="11" fillId="7" borderId="13" applyAlignment="1" pivotButton="0" quotePrefix="0" xfId="0">
      <alignment horizontal="center" vertical="center"/>
    </xf>
    <xf numFmtId="0" fontId="11" fillId="7" borderId="15" applyAlignment="1" pivotButton="0" quotePrefix="0" xfId="0">
      <alignment vertical="center"/>
    </xf>
    <xf numFmtId="0" fontId="11" fillId="7" borderId="15" applyAlignment="1" pivotButton="0" quotePrefix="0" xfId="0">
      <alignment vertical="center" wrapText="1"/>
    </xf>
    <xf numFmtId="0" fontId="11" fillId="0" borderId="18" applyAlignment="1" applyProtection="1" pivotButton="0" quotePrefix="0" xfId="0">
      <alignment horizontal="center" vertical="center"/>
      <protection locked="0" hidden="0"/>
    </xf>
    <xf numFmtId="0" fontId="11" fillId="0" borderId="18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165" fontId="11" fillId="0" borderId="0" applyAlignment="1" pivotButton="0" quotePrefix="0" xfId="0">
      <alignment horizontal="right" vertical="top"/>
    </xf>
    <xf numFmtId="165" fontId="11" fillId="0" borderId="0" pivotButton="0" quotePrefix="0" xfId="0"/>
    <xf numFmtId="0" fontId="11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" pivotButton="0" quotePrefix="0" xfId="0"/>
    <xf numFmtId="0" fontId="5" fillId="0" borderId="0" pivotButton="0" quotePrefix="0" xfId="5"/>
    <xf numFmtId="0" fontId="5" fillId="0" borderId="0" applyAlignment="1" pivotButton="0" quotePrefix="0" xfId="5">
      <alignment wrapText="1"/>
    </xf>
    <xf numFmtId="0" fontId="14" fillId="0" borderId="0" applyAlignment="1" pivotButton="0" quotePrefix="0" xfId="5">
      <alignment horizontal="center" vertical="center"/>
    </xf>
    <xf numFmtId="0" fontId="14" fillId="0" borderId="0" applyAlignment="1" pivotButton="0" quotePrefix="0" xfId="5">
      <alignment horizontal="right" vertical="center"/>
    </xf>
    <xf numFmtId="0" fontId="5" fillId="0" borderId="0" applyAlignment="1" pivotButton="0" quotePrefix="0" xfId="5">
      <alignment horizontal="center" vertical="center"/>
    </xf>
    <xf numFmtId="0" fontId="5" fillId="0" borderId="0" applyAlignment="1" pivotButton="0" quotePrefix="0" xfId="5">
      <alignment vertical="center" wrapText="1"/>
    </xf>
    <xf numFmtId="0" fontId="15" fillId="0" borderId="0" applyAlignment="1" pivotButton="0" quotePrefix="0" xfId="5">
      <alignment vertical="center"/>
    </xf>
    <xf numFmtId="0" fontId="5" fillId="0" borderId="0" applyAlignment="1" pivotButton="0" quotePrefix="0" xfId="5">
      <alignment horizontal="center"/>
    </xf>
    <xf numFmtId="0" fontId="5" fillId="0" borderId="0" applyAlignment="1" pivotButton="0" quotePrefix="0" xfId="0">
      <alignment horizontal="left" vertical="center"/>
    </xf>
    <xf numFmtId="0" fontId="16" fillId="0" borderId="0" applyAlignment="1" pivotButton="0" quotePrefix="0" xfId="5">
      <alignment horizontal="center" vertical="center"/>
    </xf>
    <xf numFmtId="0" fontId="15" fillId="0" borderId="0" applyAlignment="1" pivotButton="0" quotePrefix="0" xfId="5">
      <alignment horizontal="justify" vertical="center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5">
      <alignment horizontal="center"/>
    </xf>
    <xf numFmtId="0" fontId="16" fillId="0" borderId="0" applyAlignment="1" pivotButton="0" quotePrefix="0" xfId="5">
      <alignment vertical="center"/>
    </xf>
    <xf numFmtId="0" fontId="7" fillId="0" borderId="0" pivotButton="0" quotePrefix="0" xfId="0"/>
    <xf numFmtId="0" fontId="7" fillId="0" borderId="1" applyAlignment="1" pivotButton="0" quotePrefix="0" xfId="0">
      <alignment horizontal="center"/>
    </xf>
    <xf numFmtId="0" fontId="0" fillId="10" borderId="1" pivotButton="0" quotePrefix="0" xfId="0"/>
    <xf numFmtId="0" fontId="0" fillId="11" borderId="1" pivotButton="0" quotePrefix="0" xfId="0"/>
    <xf numFmtId="0" fontId="18" fillId="0" borderId="0" applyAlignment="1" pivotButton="0" quotePrefix="0" xfId="5">
      <alignment horizontal="center" vertical="center" wrapText="1"/>
    </xf>
    <xf numFmtId="0" fontId="18" fillId="0" borderId="0" pivotButton="0" quotePrefix="0" xfId="0"/>
    <xf numFmtId="0" fontId="17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/>
    </xf>
    <xf numFmtId="0" fontId="18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wrapText="1"/>
    </xf>
    <xf numFmtId="0" fontId="18" fillId="0" borderId="0" applyAlignment="1" pivotButton="0" quotePrefix="0" xfId="0">
      <alignment vertical="center"/>
    </xf>
    <xf numFmtId="0" fontId="1" fillId="0" borderId="0" pivotButton="0" quotePrefix="0" xfId="5"/>
    <xf numFmtId="0" fontId="1" fillId="0" borderId="0" applyAlignment="1" pivotButton="0" quotePrefix="0" xfId="5">
      <alignment wrapText="1"/>
    </xf>
    <xf numFmtId="0" fontId="20" fillId="0" borderId="0" applyAlignment="1" pivotButton="0" quotePrefix="0" xfId="5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5">
      <alignment horizontal="center" vertical="center"/>
    </xf>
    <xf numFmtId="0" fontId="1" fillId="0" borderId="1" applyAlignment="1" pivotButton="0" quotePrefix="0" xfId="5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0" fontId="24" fillId="0" borderId="0" applyAlignment="1" pivotButton="0" quotePrefix="0" xfId="5">
      <alignment horizontal="center" vertical="center"/>
    </xf>
    <xf numFmtId="0" fontId="25" fillId="0" borderId="0" pivotButton="0" quotePrefix="0" xfId="5"/>
    <xf numFmtId="0" fontId="25" fillId="0" borderId="0" applyAlignment="1" pivotButton="0" quotePrefix="0" xfId="5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9" fillId="0" borderId="0" applyAlignment="1" pivotButton="0" quotePrefix="0" xfId="5">
      <alignment vertical="center"/>
    </xf>
    <xf numFmtId="0" fontId="29" fillId="0" borderId="0" applyAlignment="1" pivotButton="0" quotePrefix="0" xfId="5">
      <alignment horizontal="center" vertical="center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5">
      <alignment vertical="center"/>
    </xf>
    <xf numFmtId="0" fontId="1" fillId="12" borderId="1" applyAlignment="1" pivotButton="0" quotePrefix="0" xfId="0">
      <alignment horizontal="center" vertical="center" wrapText="1"/>
    </xf>
    <xf numFmtId="0" fontId="1" fillId="12" borderId="4" applyAlignment="1" pivotButton="0" quotePrefix="0" xfId="0">
      <alignment horizontal="center" vertical="center" wrapText="1"/>
    </xf>
    <xf numFmtId="0" fontId="1" fillId="12" borderId="7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1" fillId="12" borderId="6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" fillId="12" borderId="7" applyAlignment="1" pivotButton="0" quotePrefix="0" xfId="0">
      <alignment horizontal="center" vertical="center"/>
    </xf>
    <xf numFmtId="0" fontId="1" fillId="12" borderId="4" applyAlignment="1" pivotButton="0" quotePrefix="0" xfId="0">
      <alignment horizontal="left" vertical="center"/>
    </xf>
    <xf numFmtId="167" fontId="1" fillId="12" borderId="4" applyAlignment="1" pivotButton="0" quotePrefix="0" xfId="0">
      <alignment horizontal="center" vertical="center"/>
    </xf>
    <xf numFmtId="3" fontId="1" fillId="0" borderId="4" applyAlignment="1" pivotButton="0" quotePrefix="1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14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14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 wrapText="1"/>
    </xf>
    <xf numFmtId="49" fontId="21" fillId="0" borderId="1" applyAlignment="1" pivotButton="0" quotePrefix="1" xfId="0">
      <alignment horizontal="center" vertical="center"/>
    </xf>
    <xf numFmtId="0" fontId="21" fillId="12" borderId="1" applyAlignment="1" pivotButton="0" quotePrefix="0" xfId="0">
      <alignment vertical="center"/>
    </xf>
    <xf numFmtId="0" fontId="1" fillId="12" borderId="3" applyAlignment="1" pivotButton="0" quotePrefix="0" xfId="0">
      <alignment vertical="center"/>
    </xf>
    <xf numFmtId="0" fontId="1" fillId="12" borderId="1" applyAlignment="1" pivotButton="0" quotePrefix="1" xfId="0">
      <alignment vertical="center"/>
    </xf>
    <xf numFmtId="0" fontId="1" fillId="12" borderId="1" applyAlignment="1" pivotButton="0" quotePrefix="0" xfId="0">
      <alignment vertical="center"/>
    </xf>
    <xf numFmtId="0" fontId="1" fillId="12" borderId="1" applyAlignment="1" pivotButton="0" quotePrefix="1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10" borderId="1" applyAlignment="1" pivotButton="0" quotePrefix="0" xfId="5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 wrapText="1"/>
    </xf>
    <xf numFmtId="15" fontId="1" fillId="10" borderId="1" applyAlignment="1" pivotButton="0" quotePrefix="0" xfId="5">
      <alignment horizontal="center" vertical="center" wrapText="1"/>
    </xf>
    <xf numFmtId="3" fontId="1" fillId="10" borderId="4" applyAlignment="1" pivotButton="0" quotePrefix="1" xfId="0">
      <alignment horizontal="center" vertical="center"/>
    </xf>
    <xf numFmtId="0" fontId="1" fillId="10" borderId="4" applyAlignment="1" pivotButton="0" quotePrefix="1" xfId="0">
      <alignment horizontal="center" vertical="center"/>
    </xf>
    <xf numFmtId="0" fontId="1" fillId="13" borderId="1" applyAlignment="1" pivotButton="0" quotePrefix="0" xfId="5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 wrapText="1"/>
    </xf>
    <xf numFmtId="15" fontId="1" fillId="13" borderId="1" applyAlignment="1" pivotButton="0" quotePrefix="0" xfId="5">
      <alignment horizontal="center" vertical="center" wrapText="1"/>
    </xf>
    <xf numFmtId="0" fontId="1" fillId="13" borderId="4" applyAlignment="1" pivotButton="0" quotePrefix="1" xfId="0">
      <alignment horizontal="center" vertical="center"/>
    </xf>
    <xf numFmtId="0" fontId="1" fillId="14" borderId="1" applyAlignment="1" pivotButton="0" quotePrefix="0" xfId="5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1" fillId="14" borderId="1" applyAlignment="1" pivotButton="0" quotePrefix="0" xfId="5">
      <alignment horizontal="center" vertical="center" wrapText="1"/>
    </xf>
    <xf numFmtId="0" fontId="1" fillId="13" borderId="1" applyAlignment="1" pivotButton="0" quotePrefix="0" xfId="5">
      <alignment horizontal="center" vertical="center" wrapText="1"/>
    </xf>
    <xf numFmtId="0" fontId="1" fillId="13" borderId="3" applyAlignment="1" pivotButton="0" quotePrefix="0" xfId="5">
      <alignment horizontal="left" vertical="center" wrapText="1"/>
    </xf>
    <xf numFmtId="0" fontId="32" fillId="0" borderId="0" pivotButton="0" quotePrefix="0" xfId="5"/>
    <xf numFmtId="0" fontId="3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/>
    </xf>
    <xf numFmtId="49" fontId="2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left" vertical="top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21" fillId="12" borderId="1" applyAlignment="1" pivotButton="0" quotePrefix="1" xfId="0">
      <alignment vertical="center"/>
    </xf>
    <xf numFmtId="0" fontId="5" fillId="13" borderId="0" applyAlignment="1" pivotButton="0" quotePrefix="0" xfId="5">
      <alignment horizontal="center"/>
    </xf>
    <xf numFmtId="0" fontId="5" fillId="13" borderId="0" pivotButton="0" quotePrefix="0" xfId="5"/>
    <xf numFmtId="0" fontId="1" fillId="14" borderId="1" applyAlignment="1" pivotButton="0" quotePrefix="0" xfId="0">
      <alignment horizontal="left" vertical="center"/>
    </xf>
    <xf numFmtId="0" fontId="1" fillId="14" borderId="1" applyAlignment="1" pivotButton="0" quotePrefix="1" xfId="0">
      <alignment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vertical="center"/>
    </xf>
    <xf numFmtId="0" fontId="21" fillId="14" borderId="1" applyAlignment="1" pivotButton="0" quotePrefix="0" xfId="0">
      <alignment vertical="center"/>
    </xf>
    <xf numFmtId="0" fontId="21" fillId="13" borderId="1" applyAlignment="1" pivotButton="0" quotePrefix="0" xfId="0">
      <alignment vertical="center"/>
    </xf>
    <xf numFmtId="0" fontId="21" fillId="13" borderId="1" applyAlignment="1" pivotButton="0" quotePrefix="1" xfId="0">
      <alignment vertical="center"/>
    </xf>
    <xf numFmtId="0" fontId="1" fillId="13" borderId="3" applyAlignment="1" pivotButton="0" quotePrefix="0" xfId="0">
      <alignment vertical="center"/>
    </xf>
    <xf numFmtId="0" fontId="1" fillId="13" borderId="1" applyAlignment="1" pivotButton="0" quotePrefix="1" xfId="0">
      <alignment vertical="center"/>
    </xf>
    <xf numFmtId="0" fontId="1" fillId="13" borderId="1" applyAlignment="1" pivotButton="0" quotePrefix="0" xfId="0">
      <alignment vertical="center"/>
    </xf>
    <xf numFmtId="0" fontId="1" fillId="13" borderId="1" applyAlignment="1" pivotButton="0" quotePrefix="0" xfId="0">
      <alignment horizontal="left" vertical="center"/>
    </xf>
    <xf numFmtId="0" fontId="1" fillId="13" borderId="1" applyAlignment="1" pivotButton="0" quotePrefix="1" xfId="0">
      <alignment horizontal="left" vertical="center"/>
    </xf>
    <xf numFmtId="3" fontId="1" fillId="13" borderId="4" applyAlignment="1" pivotButton="0" quotePrefix="1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164" fontId="11" fillId="0" borderId="0" applyProtection="1" pivotButton="0" quotePrefix="0" xfId="0">
      <protection locked="0" hidden="0"/>
    </xf>
    <xf numFmtId="0" fontId="12" fillId="2" borderId="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1" fillId="4" borderId="14" applyAlignment="1" pivotButton="0" quotePrefix="0" xfId="0">
      <alignment horizontal="center" vertical="center"/>
    </xf>
    <xf numFmtId="0" fontId="11" fillId="4" borderId="15" applyAlignment="1" pivotButton="0" quotePrefix="0" xfId="0">
      <alignment horizontal="center" vertical="center"/>
    </xf>
    <xf numFmtId="0" fontId="11" fillId="5" borderId="13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  <xf numFmtId="0" fontId="11" fillId="5" borderId="15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/>
    </xf>
    <xf numFmtId="0" fontId="11" fillId="6" borderId="11" applyAlignment="1" pivotButton="0" quotePrefix="0" xfId="0">
      <alignment horizontal="left"/>
    </xf>
    <xf numFmtId="0" fontId="11" fillId="8" borderId="13" applyAlignment="1" pivotButton="0" quotePrefix="0" xfId="0">
      <alignment horizontal="left"/>
    </xf>
    <xf numFmtId="0" fontId="11" fillId="8" borderId="15" applyAlignment="1" pivotButton="0" quotePrefix="0" xfId="0">
      <alignment horizontal="left"/>
    </xf>
    <xf numFmtId="0" fontId="11" fillId="9" borderId="14" applyAlignment="1" pivotButton="0" quotePrefix="0" xfId="0">
      <alignment horizontal="left"/>
    </xf>
    <xf numFmtId="0" fontId="11" fillId="9" borderId="15" applyAlignment="1" pivotButton="0" quotePrefix="0" xfId="0">
      <alignment horizontal="left"/>
    </xf>
    <xf numFmtId="0" fontId="11" fillId="6" borderId="0" applyAlignment="1" pivotButton="0" quotePrefix="0" xfId="0">
      <alignment horizontal="left" vertical="center"/>
    </xf>
    <xf numFmtId="0" fontId="11" fillId="6" borderId="11" applyAlignment="1" pivotButton="0" quotePrefix="0" xfId="0">
      <alignment horizontal="left" vertical="center"/>
    </xf>
    <xf numFmtId="0" fontId="11" fillId="8" borderId="14" applyAlignment="1" pivotButton="0" quotePrefix="0" xfId="0">
      <alignment horizontal="left" vertical="center" wrapText="1"/>
    </xf>
    <xf numFmtId="0" fontId="11" fillId="8" borderId="15" applyAlignment="1" pivotButton="0" quotePrefix="0" xfId="0">
      <alignment horizontal="left" vertical="center" wrapText="1"/>
    </xf>
    <xf numFmtId="0" fontId="11" fillId="9" borderId="14" applyAlignment="1" pivotButton="0" quotePrefix="0" xfId="0">
      <alignment horizontal="left" vertical="center" wrapText="1"/>
    </xf>
    <xf numFmtId="0" fontId="11" fillId="9" borderId="15" applyAlignment="1" pivotButton="0" quotePrefix="0" xfId="0">
      <alignment horizontal="left" vertical="center" wrapText="1"/>
    </xf>
    <xf numFmtId="0" fontId="11" fillId="9" borderId="14" applyAlignment="1" pivotButton="0" quotePrefix="0" xfId="0">
      <alignment horizontal="left" wrapText="1"/>
    </xf>
    <xf numFmtId="0" fontId="11" fillId="9" borderId="15" applyAlignment="1" pivotButton="0" quotePrefix="0" xfId="0">
      <alignment horizontal="left" wrapText="1"/>
    </xf>
    <xf numFmtId="0" fontId="11" fillId="6" borderId="0" applyAlignment="1" pivotButton="0" quotePrefix="0" xfId="0">
      <alignment horizontal="left" vertical="center" wrapText="1"/>
    </xf>
    <xf numFmtId="0" fontId="11" fillId="6" borderId="11" applyAlignment="1" pivotButton="0" quotePrefix="0" xfId="0">
      <alignment horizontal="left" vertical="center" wrapText="1"/>
    </xf>
    <xf numFmtId="0" fontId="11" fillId="2" borderId="13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5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11" fillId="0" borderId="2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 indent="1"/>
    </xf>
    <xf numFmtId="0" fontId="11" fillId="0" borderId="20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left" wrapText="1" indent="1"/>
    </xf>
    <xf numFmtId="0" fontId="1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1" fillId="12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3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2" borderId="9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1" fillId="12" borderId="10" applyAlignment="1" pivotButton="0" quotePrefix="0" xfId="0">
      <alignment horizontal="center" vertical="center" wrapText="1"/>
    </xf>
    <xf numFmtId="0" fontId="25" fillId="0" borderId="0" applyAlignment="1" pivotButton="0" quotePrefix="0" xfId="5">
      <alignment horizontal="center"/>
    </xf>
    <xf numFmtId="0" fontId="26" fillId="0" borderId="0" applyAlignment="1" pivotButton="0" quotePrefix="0" xfId="5">
      <alignment horizontal="center"/>
    </xf>
    <xf numFmtId="0" fontId="31" fillId="0" borderId="0" applyAlignment="1" pivotButton="0" quotePrefix="0" xfId="5">
      <alignment horizontal="center" vertical="center" wrapText="1"/>
    </xf>
    <xf numFmtId="0" fontId="24" fillId="0" borderId="0" applyAlignment="1" pivotButton="0" quotePrefix="0" xfId="5">
      <alignment horizontal="center" vertical="center"/>
    </xf>
    <xf numFmtId="0" fontId="31" fillId="0" borderId="0" applyAlignment="1" pivotButton="0" quotePrefix="0" xfId="5">
      <alignment horizontal="center"/>
    </xf>
    <xf numFmtId="0" fontId="1" fillId="0" borderId="2" applyAlignment="1" pivotButton="0" quotePrefix="0" xfId="5">
      <alignment horizontal="center" vertical="center"/>
    </xf>
    <xf numFmtId="0" fontId="1" fillId="0" borderId="3" applyAlignment="1" pivotButton="0" quotePrefix="0" xfId="5">
      <alignment horizontal="center" vertical="center"/>
    </xf>
    <xf numFmtId="0" fontId="1" fillId="0" borderId="2" applyAlignment="1" pivotButton="0" quotePrefix="0" xfId="5">
      <alignment horizontal="center" vertical="center" wrapText="1"/>
    </xf>
    <xf numFmtId="0" fontId="1" fillId="0" borderId="3" applyAlignment="1" pivotButton="0" quotePrefix="0" xfId="5">
      <alignment horizontal="center" vertical="center" wrapText="1"/>
    </xf>
    <xf numFmtId="0" fontId="19" fillId="0" borderId="0" applyAlignment="1" pivotButton="0" quotePrefix="0" xfId="5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5">
      <alignment horizontal="center" vertical="center"/>
    </xf>
    <xf numFmtId="0" fontId="27" fillId="0" borderId="0" applyAlignment="1" pivotButton="0" quotePrefix="0" xfId="5">
      <alignment horizontal="center"/>
    </xf>
    <xf numFmtId="0" fontId="1" fillId="0" borderId="0" applyAlignment="1" pivotButton="0" quotePrefix="0" xfId="5">
      <alignment horizontal="center"/>
    </xf>
    <xf numFmtId="0" fontId="28" fillId="0" borderId="0" applyAlignment="1" pivotButton="0" quotePrefix="0" xfId="5">
      <alignment horizontal="center" vertical="center"/>
    </xf>
    <xf numFmtId="0" fontId="1" fillId="0" borderId="0" applyAlignment="1" pivotButton="0" quotePrefix="0" xfId="5">
      <alignment horizontal="center" vertical="center" wrapText="1"/>
    </xf>
    <xf numFmtId="0" fontId="21" fillId="0" borderId="0" applyAlignment="1" pivotButton="0" quotePrefix="0" xfId="5">
      <alignment horizontal="center" vertical="center"/>
    </xf>
    <xf numFmtId="0" fontId="1" fillId="0" borderId="4" applyAlignment="1" pivotButton="0" quotePrefix="0" xfId="5">
      <alignment horizontal="center" vertical="center"/>
    </xf>
    <xf numFmtId="0" fontId="1" fillId="0" borderId="7" applyAlignment="1" pivotButton="0" quotePrefix="0" xfId="5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7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wrapText="1"/>
    </xf>
    <xf numFmtId="0" fontId="0" fillId="0" borderId="3" pivotButton="0" quotePrefix="0" xfId="0"/>
    <xf numFmtId="164" fontId="1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11" fillId="4" borderId="12" applyAlignment="1" pivotButton="0" quotePrefix="0" xfId="0">
      <alignment horizontal="center" vertical="center"/>
    </xf>
    <xf numFmtId="0" fontId="11" fillId="5" borderId="12" applyAlignment="1" pivotButton="0" quotePrefix="0" xfId="0">
      <alignment horizontal="center" vertical="center"/>
    </xf>
    <xf numFmtId="0" fontId="11" fillId="8" borderId="12" applyAlignment="1" pivotButton="0" quotePrefix="0" xfId="0">
      <alignment horizontal="left"/>
    </xf>
    <xf numFmtId="0" fontId="11" fillId="2" borderId="12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/>
    </xf>
    <xf numFmtId="0" fontId="0" fillId="0" borderId="17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7" pivotButton="0" quotePrefix="0" xfId="0"/>
    <xf numFmtId="0" fontId="0" fillId="0" borderId="16" pivotButton="0" quotePrefix="0" xfId="0"/>
    <xf numFmtId="165" fontId="11" fillId="0" borderId="0" applyAlignment="1" pivotButton="0" quotePrefix="0" xfId="0">
      <alignment horizontal="right" vertical="top"/>
    </xf>
    <xf numFmtId="165" fontId="11" fillId="0" borderId="0" pivotButton="0" quotePrefix="0" xfId="0"/>
    <xf numFmtId="0" fontId="1" fillId="12" borderId="30" applyAlignment="1" pivotButton="0" quotePrefix="0" xfId="0">
      <alignment horizontal="center" vertical="center" wrapText="1"/>
    </xf>
    <xf numFmtId="0" fontId="0" fillId="0" borderId="31" pivotButton="0" quotePrefix="0" xfId="0"/>
    <xf numFmtId="165" fontId="0" fillId="0" borderId="0" applyAlignment="1" pivotButton="0" quotePrefix="0" xfId="0">
      <alignment vertical="center"/>
    </xf>
    <xf numFmtId="167" fontId="1" fillId="12" borderId="4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</cellXfs>
  <cellStyles count="6">
    <cellStyle name="Normal" xfId="0" builtinId="0"/>
    <cellStyle name="Normal 2 2" xfId="1"/>
    <cellStyle name="Normal 7" xfId="2"/>
    <cellStyle name="Normal 8" xfId="3"/>
    <cellStyle name="Normal 2" xfId="4"/>
    <cellStyle name="Normal 3" xfId="5"/>
  </cellStyles>
  <dxfs count="2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0</colOff>
      <row>0</row>
      <rowOff>114056</rowOff>
    </from>
    <to>
      <col>10</col>
      <colOff>452717</colOff>
      <row>3</row>
      <rowOff>93349</rowOff>
    </to>
    <pic>
      <nvPicPr>
        <cNvPr id="2" name="Graphic 1" descr="tekan untuk kembali ke halaman indeks navigasi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1458" y="114056"/>
          <a:ext cx="452717" cy="4745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25</col>
      <colOff>4224</colOff>
      <row>2</row>
      <rowOff>61172</rowOff>
    </from>
    <to>
      <col>25</col>
      <colOff>461448</colOff>
      <row>4</row>
      <rowOff>163244</rowOff>
    </to>
    <pic>
      <nvPicPr>
        <cNvPr id="2" name="Graphic 1" descr="tekan untuk kembali ke halaman indeks navigasi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591995" y="244786"/>
          <a:ext cx="457224" cy="4693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14</col>
      <colOff>326572</colOff>
      <row>1</row>
      <rowOff>0</rowOff>
    </from>
    <to>
      <col>14</col>
      <colOff>783796</colOff>
      <row>2</row>
      <rowOff>210766</rowOff>
    </to>
    <pic>
      <nvPicPr>
        <cNvPr id="3" name="Graphic 2" descr="tekan untuk kembali ke halaman indeks navigasi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321893" y="258536"/>
          <a:ext cx="457224" cy="4693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17</col>
      <colOff>226220</colOff>
      <row>1</row>
      <rowOff>1</rowOff>
    </from>
    <to>
      <col>17</col>
      <colOff>683444</colOff>
      <row>3</row>
      <rowOff>64490</rowOff>
    </to>
    <pic>
      <nvPicPr>
        <cNvPr id="3" name="Graphic 2" descr="tekan untuk kembali ke halaman indeks navigasi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895220" y="202407"/>
          <a:ext cx="457224" cy="4693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view="pageBreakPreview" zoomScale="130" zoomScaleSheetLayoutView="130" workbookViewId="0">
      <selection activeCell="B20" sqref="B20"/>
    </sheetView>
  </sheetViews>
  <sheetFormatPr baseColWidth="8" defaultColWidth="9.140625" defaultRowHeight="15"/>
  <cols>
    <col width="5.42578125" customWidth="1" style="1" min="1" max="1"/>
    <col width="26.42578125" customWidth="1" style="1" min="2" max="2"/>
    <col width="9.140625" customWidth="1" style="1" min="3" max="5"/>
    <col width="12" customWidth="1" style="1" min="6" max="6"/>
    <col width="9.140625" customWidth="1" style="1" min="7" max="16384"/>
  </cols>
  <sheetData>
    <row r="1">
      <c r="E1" s="167" t="inlineStr">
        <is>
          <t>Lampiran I</t>
        </is>
      </c>
    </row>
    <row r="2">
      <c r="F2" s="2" t="n"/>
    </row>
    <row r="3">
      <c r="A3" s="168" t="inlineStr">
        <is>
          <t>Hasil Verifikasi Calon Penerima Bantuan</t>
        </is>
      </c>
    </row>
    <row r="4" ht="15.75" customHeight="1">
      <c r="A4" s="169" t="inlineStr">
        <is>
          <t>Kegiatan Bantuan Stimulan Perumahan Swadaya Tahun 2021</t>
        </is>
      </c>
      <c r="G4" s="5" t="n"/>
      <c r="H4" s="5" t="n"/>
      <c r="I4" s="5" t="n"/>
      <c r="J4" s="5" t="n"/>
    </row>
    <row r="5" ht="15.75" customHeight="1">
      <c r="A5" s="169" t="inlineStr">
        <is>
          <t>Provinsi Jawa Barat</t>
        </is>
      </c>
      <c r="G5" s="5" t="n"/>
      <c r="H5" s="5" t="n"/>
      <c r="I5" s="5" t="n"/>
      <c r="J5" s="5" t="n"/>
    </row>
    <row r="7">
      <c r="A7" s="273" t="inlineStr">
        <is>
          <t>No</t>
        </is>
      </c>
      <c r="B7" s="273" t="inlineStr">
        <is>
          <t>Kabupaten/Kota</t>
        </is>
      </c>
      <c r="C7" s="274" t="inlineStr">
        <is>
          <t>CPB (Unit)</t>
        </is>
      </c>
      <c r="D7" s="176" t="inlineStr">
        <is>
          <t>Hasil Verifikasi</t>
        </is>
      </c>
      <c r="E7" s="275" t="n"/>
      <c r="F7" s="276" t="n"/>
    </row>
    <row r="8">
      <c r="A8" s="277" t="n"/>
      <c r="B8" s="277" t="n"/>
      <c r="C8" s="277" t="n"/>
      <c r="D8" s="274" t="inlineStr">
        <is>
          <t>Lolos (Unit)</t>
        </is>
      </c>
      <c r="E8" s="278" t="inlineStr">
        <is>
          <t>Tidak Lolos (Unit)</t>
        </is>
      </c>
      <c r="F8" s="278" t="inlineStr">
        <is>
          <t>CPB Pengganti (Unit)</t>
        </is>
      </c>
    </row>
    <row r="9">
      <c r="A9" s="277" t="n"/>
      <c r="B9" s="277" t="n"/>
      <c r="C9" s="277" t="n"/>
      <c r="D9" s="277" t="n"/>
      <c r="E9" s="277" t="n"/>
      <c r="F9" s="277" t="n"/>
    </row>
    <row r="10">
      <c r="A10" s="279" t="n"/>
      <c r="B10" s="279" t="n"/>
      <c r="C10" s="279" t="n"/>
      <c r="D10" s="279" t="n"/>
      <c r="E10" s="279" t="n"/>
      <c r="F10" s="279" t="n"/>
    </row>
    <row r="11">
      <c r="A11" s="176" t="n">
        <v>1</v>
      </c>
      <c r="B11" s="3" t="inlineStr">
        <is>
          <t>Kabupaten Bandung</t>
        </is>
      </c>
      <c r="C11" s="176" t="n">
        <v>32</v>
      </c>
      <c r="D11" s="176" t="n">
        <v>32</v>
      </c>
      <c r="E11" s="176" t="n">
        <v>12</v>
      </c>
      <c r="F11" s="176" t="n">
        <v>0</v>
      </c>
      <c r="H11" s="1" t="inlineStr"/>
    </row>
  </sheetData>
  <mergeCells count="11">
    <mergeCell ref="A7:A10"/>
    <mergeCell ref="E8:E10"/>
    <mergeCell ref="A3:F3"/>
    <mergeCell ref="A5:F5"/>
    <mergeCell ref="D8:D10"/>
    <mergeCell ref="C7:C10"/>
    <mergeCell ref="A4:F4"/>
    <mergeCell ref="B7:B10"/>
    <mergeCell ref="D7:F7"/>
    <mergeCell ref="F8:F10"/>
    <mergeCell ref="E1:G1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J69"/>
  <sheetViews>
    <sheetView showGridLines="0" view="pageBreakPreview" topLeftCell="A21" zoomScaleSheetLayoutView="100" workbookViewId="0">
      <selection activeCell="G46" sqref="G46:J46"/>
    </sheetView>
  </sheetViews>
  <sheetFormatPr baseColWidth="8" defaultColWidth="8.42578125" defaultRowHeight="14.25" customHeight="1"/>
  <cols>
    <col width="1.42578125" customWidth="1" min="1" max="1"/>
    <col width="7.42578125" customWidth="1" min="2" max="2"/>
    <col width="1.42578125" customWidth="1" min="3" max="3"/>
    <col width="16.42578125" customWidth="1" min="4" max="4"/>
    <col width="1.42578125" customWidth="1" min="5" max="5"/>
    <col width="19.42578125" customWidth="1" min="6" max="6"/>
    <col width="6.42578125" customWidth="1" min="7" max="7"/>
    <col width="1.42578125" customWidth="1" min="8" max="8"/>
    <col width="8.42578125" customWidth="1" min="9" max="9"/>
    <col width="9.42578125" customWidth="1" min="10" max="10"/>
  </cols>
  <sheetData>
    <row r="1" ht="14.25" customHeight="1">
      <c r="A1" s="180" t="inlineStr">
        <is>
          <t>Lembar Verifikasi Calon Penerima Bantuan</t>
        </is>
      </c>
    </row>
    <row r="3" ht="11.25" customFormat="1" customHeight="1" s="9">
      <c r="A3" s="8" t="inlineStr">
        <is>
          <t>Nama KK</t>
        </is>
      </c>
      <c r="C3" s="9" t="inlineStr">
        <is>
          <t>:</t>
        </is>
      </c>
      <c r="D3" s="280" t="inlineStr">
        <is>
          <t>…..........................................</t>
        </is>
      </c>
      <c r="E3" s="281" t="n"/>
      <c r="F3" s="8" t="inlineStr">
        <is>
          <t>Penghasilan KK perbulan</t>
        </is>
      </c>
      <c r="G3" s="8" t="n"/>
      <c r="H3" s="9" t="inlineStr">
        <is>
          <t>:</t>
        </is>
      </c>
      <c r="I3" s="280" t="inlineStr">
        <is>
          <t>…..........................................</t>
        </is>
      </c>
      <c r="J3" s="281" t="n"/>
    </row>
    <row r="4" ht="11.25" customFormat="1" customHeight="1" s="9">
      <c r="A4" s="8" t="inlineStr">
        <is>
          <t>NIK</t>
        </is>
      </c>
      <c r="C4" s="9" t="inlineStr">
        <is>
          <t>:</t>
        </is>
      </c>
      <c r="D4" s="280" t="inlineStr">
        <is>
          <t>…..........................................</t>
        </is>
      </c>
      <c r="E4" s="281" t="n"/>
      <c r="F4" s="8" t="inlineStr">
        <is>
          <t>Nilai UMP / UMK (pilih yg tertinggi)</t>
        </is>
      </c>
      <c r="G4" s="8" t="n"/>
      <c r="H4" s="9" t="inlineStr">
        <is>
          <t>:</t>
        </is>
      </c>
      <c r="I4" s="280" t="inlineStr">
        <is>
          <t>…..........................................</t>
        </is>
      </c>
      <c r="J4" s="281" t="n"/>
    </row>
    <row r="5" ht="11.25" customFormat="1" customHeight="1" s="9">
      <c r="A5" s="8" t="inlineStr">
        <is>
          <t>Alamat KK</t>
        </is>
      </c>
      <c r="C5" s="9" t="inlineStr">
        <is>
          <t>:</t>
        </is>
      </c>
      <c r="D5" s="280" t="inlineStr">
        <is>
          <t>…..........................................</t>
        </is>
      </c>
      <c r="E5" s="281" t="n"/>
      <c r="F5" s="8" t="inlineStr">
        <is>
          <t>Jenis banper sejenis yang pernah didapat</t>
        </is>
      </c>
      <c r="G5" s="8" t="n"/>
      <c r="H5" s="9" t="inlineStr">
        <is>
          <t>:</t>
        </is>
      </c>
      <c r="I5" s="280" t="inlineStr">
        <is>
          <t>…..........................................</t>
        </is>
      </c>
    </row>
    <row r="6" ht="11.25" customFormat="1" customHeight="1" s="9">
      <c r="A6" s="8" t="inlineStr">
        <is>
          <t>RT / RW</t>
        </is>
      </c>
      <c r="C6" s="9" t="inlineStr">
        <is>
          <t>:</t>
        </is>
      </c>
      <c r="D6" s="280" t="inlineStr">
        <is>
          <t>…..........................................</t>
        </is>
      </c>
      <c r="E6" s="281" t="n"/>
      <c r="F6" s="8" t="inlineStr">
        <is>
          <t>Tahun mendapat banper (0 jika tidak pernah)</t>
        </is>
      </c>
      <c r="G6" s="8" t="n"/>
      <c r="H6" s="9" t="inlineStr">
        <is>
          <t>:</t>
        </is>
      </c>
      <c r="I6" s="280" t="inlineStr">
        <is>
          <t>…..........................................</t>
        </is>
      </c>
      <c r="J6" s="281" t="n"/>
    </row>
    <row r="7" ht="11.25" customFormat="1" customHeight="1" s="9">
      <c r="A7" s="8" t="inlineStr">
        <is>
          <t>Desa / Kelurahan</t>
        </is>
      </c>
      <c r="C7" s="9" t="inlineStr">
        <is>
          <t>:</t>
        </is>
      </c>
      <c r="D7" s="280" t="inlineStr">
        <is>
          <t>…..........................................</t>
        </is>
      </c>
      <c r="E7" s="281" t="n"/>
      <c r="F7" s="8" t="inlineStr">
        <is>
          <t>Berapa tahun menghuni rumah</t>
        </is>
      </c>
      <c r="G7" s="8" t="n"/>
      <c r="H7" s="9" t="inlineStr">
        <is>
          <t>:</t>
        </is>
      </c>
      <c r="I7" s="280" t="inlineStr">
        <is>
          <t>…..........................................</t>
        </is>
      </c>
      <c r="J7" s="281" t="n"/>
    </row>
    <row r="8" ht="11.25" customFormat="1" customHeight="1" s="9">
      <c r="A8" s="8" t="inlineStr">
        <is>
          <t xml:space="preserve">Kecamatan </t>
        </is>
      </c>
      <c r="C8" s="9" t="inlineStr">
        <is>
          <t>:</t>
        </is>
      </c>
      <c r="D8" s="280" t="inlineStr">
        <is>
          <t>…..........................................</t>
        </is>
      </c>
      <c r="E8" s="281" t="n"/>
      <c r="F8" s="8" t="inlineStr">
        <is>
          <t>Foto perspektif rumah</t>
        </is>
      </c>
      <c r="G8" s="8" t="n"/>
      <c r="H8" s="9" t="inlineStr">
        <is>
          <t>:</t>
        </is>
      </c>
      <c r="I8" s="11" t="inlineStr">
        <is>
          <t>…..........................................</t>
        </is>
      </c>
    </row>
    <row r="9" ht="11.25" customFormat="1" customHeight="1" s="9">
      <c r="A9" s="8" t="inlineStr">
        <is>
          <t>Kabupaten / Kota</t>
        </is>
      </c>
      <c r="C9" s="9" t="inlineStr">
        <is>
          <t>:</t>
        </is>
      </c>
      <c r="D9" s="280" t="inlineStr">
        <is>
          <t>…..........................................</t>
        </is>
      </c>
      <c r="E9" s="281" t="n"/>
      <c r="F9" s="8" t="inlineStr">
        <is>
          <t>Kode foto rumah / Nama file</t>
        </is>
      </c>
      <c r="G9" s="8" t="n"/>
      <c r="H9" s="9" t="inlineStr">
        <is>
          <t>:</t>
        </is>
      </c>
      <c r="I9" s="11" t="inlineStr">
        <is>
          <t>…..........................................</t>
        </is>
      </c>
    </row>
    <row r="10" ht="11.25" customFormat="1" customHeight="1" s="9">
      <c r="A10" s="8" t="inlineStr">
        <is>
          <t xml:space="preserve">Provinsi </t>
        </is>
      </c>
      <c r="C10" s="9" t="inlineStr">
        <is>
          <t>:</t>
        </is>
      </c>
      <c r="D10" s="280" t="inlineStr">
        <is>
          <t>…..........................................</t>
        </is>
      </c>
      <c r="E10" s="281" t="n"/>
    </row>
    <row r="12" ht="14.25" customHeight="1">
      <c r="A12" s="183" t="inlineStr">
        <is>
          <t>ASPEK / KOMPONEN</t>
        </is>
      </c>
      <c r="B12" s="282" t="n"/>
      <c r="C12" s="184" t="inlineStr">
        <is>
          <t>KONDISI RUMAH</t>
        </is>
      </c>
      <c r="D12" s="283" t="n"/>
      <c r="E12" s="283" t="n"/>
      <c r="F12" s="283" t="n"/>
      <c r="G12" s="283" t="n"/>
      <c r="H12" s="283" t="n"/>
      <c r="I12" s="283" t="n"/>
      <c r="J12" s="284" t="n"/>
    </row>
    <row r="13" ht="14.25" customHeight="1">
      <c r="B13" s="282" t="n"/>
      <c r="C13" s="185" t="inlineStr">
        <is>
          <t>A</t>
        </is>
      </c>
      <c r="D13" s="284" t="n"/>
      <c r="E13" s="285" t="inlineStr">
        <is>
          <t>B</t>
        </is>
      </c>
      <c r="F13" s="283" t="n"/>
      <c r="G13" s="284" t="n"/>
      <c r="H13" s="286" t="inlineStr">
        <is>
          <t>C</t>
        </is>
      </c>
      <c r="I13" s="283" t="n"/>
      <c r="J13" s="284" t="n"/>
    </row>
    <row r="14" ht="12" customFormat="1" customHeight="1" s="14">
      <c r="A14" s="183" t="inlineStr">
        <is>
          <t>1. STRUKTUR</t>
        </is>
      </c>
      <c r="J14" s="282" t="n"/>
    </row>
    <row r="15" ht="12" customHeight="1">
      <c r="A15" s="193" t="inlineStr">
        <is>
          <t>Fondasi</t>
        </is>
      </c>
      <c r="B15" s="282" t="n"/>
      <c r="C15" s="15" t="n">
        <v>0</v>
      </c>
      <c r="D15" s="16" t="inlineStr">
        <is>
          <t>ada, kondisi baik, kokoh</t>
        </is>
      </c>
      <c r="E15" s="186" t="n">
        <v>0</v>
      </c>
      <c r="F15" s="287" t="inlineStr">
        <is>
          <t>ada, sebagian rapuh, tidak kokoh</t>
        </is>
      </c>
      <c r="G15" s="284" t="n"/>
      <c r="H15" s="189" t="n">
        <v>0</v>
      </c>
      <c r="I15" s="197" t="inlineStr">
        <is>
          <t xml:space="preserve">tidak ada, seluruhnya rapuh </t>
        </is>
      </c>
      <c r="J15" s="284" t="n"/>
    </row>
    <row r="16" ht="12" customHeight="1">
      <c r="A16" s="193" t="inlineStr">
        <is>
          <t>Sloof</t>
        </is>
      </c>
      <c r="B16" s="282" t="n"/>
      <c r="C16" s="15" t="n">
        <v>0</v>
      </c>
      <c r="D16" s="16" t="inlineStr">
        <is>
          <t>ada, kondisi baik, kokoh</t>
        </is>
      </c>
      <c r="E16" s="186" t="n">
        <v>0</v>
      </c>
      <c r="F16" s="287" t="inlineStr">
        <is>
          <t>ada, sebagian rapuh, tidak kokoh</t>
        </is>
      </c>
      <c r="G16" s="284" t="n"/>
      <c r="H16" s="189" t="n">
        <v>0</v>
      </c>
      <c r="I16" s="197" t="inlineStr">
        <is>
          <t xml:space="preserve">tidak ada, seluruhnya rapuh </t>
        </is>
      </c>
      <c r="J16" s="284" t="n"/>
    </row>
    <row r="17" ht="12" customHeight="1">
      <c r="A17" s="193" t="inlineStr">
        <is>
          <t xml:space="preserve">Kolom </t>
        </is>
      </c>
      <c r="B17" s="282" t="n"/>
      <c r="C17" s="15" t="n">
        <v>0</v>
      </c>
      <c r="D17" s="16" t="inlineStr">
        <is>
          <t>ada, kondisi baik, kokoh</t>
        </is>
      </c>
      <c r="E17" s="186" t="n">
        <v>0</v>
      </c>
      <c r="F17" s="287" t="inlineStr">
        <is>
          <t>ada, sebagian rapuh, tidak kokoh</t>
        </is>
      </c>
      <c r="G17" s="284" t="n"/>
      <c r="H17" s="189" t="n">
        <v>0</v>
      </c>
      <c r="I17" s="197" t="inlineStr">
        <is>
          <t xml:space="preserve">tidak ada, seluruhnya rapuh </t>
        </is>
      </c>
      <c r="J17" s="284" t="n"/>
    </row>
    <row r="18" ht="12" customHeight="1">
      <c r="A18" s="193" t="inlineStr">
        <is>
          <t>Ring Balok</t>
        </is>
      </c>
      <c r="B18" s="282" t="n"/>
      <c r="C18" s="15" t="n">
        <v>0</v>
      </c>
      <c r="D18" s="16" t="inlineStr">
        <is>
          <t>ada, kondisi baik, kokoh</t>
        </is>
      </c>
      <c r="E18" s="186" t="n">
        <v>0</v>
      </c>
      <c r="F18" s="287" t="inlineStr">
        <is>
          <t>ada, sebagian rapuh, tidak kokoh</t>
        </is>
      </c>
      <c r="G18" s="284" t="n"/>
      <c r="H18" s="189" t="n">
        <v>0</v>
      </c>
      <c r="I18" s="197" t="inlineStr">
        <is>
          <t xml:space="preserve">tidak ada, seluruhnya rapuh </t>
        </is>
      </c>
      <c r="J18" s="284" t="n"/>
    </row>
    <row r="19" ht="12" customHeight="1">
      <c r="A19" s="193" t="inlineStr">
        <is>
          <t>Rangka Atap</t>
        </is>
      </c>
      <c r="B19" s="282" t="n"/>
      <c r="C19" s="15" t="n">
        <v>0</v>
      </c>
      <c r="D19" s="16" t="inlineStr">
        <is>
          <t>ada, kondisi baik, kokoh</t>
        </is>
      </c>
      <c r="E19" s="186" t="n">
        <v>0</v>
      </c>
      <c r="F19" s="287" t="inlineStr">
        <is>
          <t>ada, sebagian rapuh, tidak kokoh</t>
        </is>
      </c>
      <c r="G19" s="284" t="n"/>
      <c r="H19" s="189" t="n">
        <v>0</v>
      </c>
      <c r="I19" s="197" t="inlineStr">
        <is>
          <t xml:space="preserve">tidak ada, seluruhnya rapuh </t>
        </is>
      </c>
      <c r="J19" s="284" t="n"/>
    </row>
    <row r="20" ht="12" customHeight="1">
      <c r="A20" s="183" t="inlineStr">
        <is>
          <t>2. NON-STRUKTUR</t>
        </is>
      </c>
      <c r="J20" s="282" t="n"/>
    </row>
    <row r="21" ht="54.95" customHeight="1">
      <c r="A21" s="199" t="inlineStr">
        <is>
          <t>Dinding</t>
        </is>
      </c>
      <c r="B21" s="282" t="n"/>
      <c r="C21" s="15" t="n">
        <v>0</v>
      </c>
      <c r="D21" s="17" t="inlineStr">
        <is>
          <t xml:space="preserve">Tembok/setengah tembok diplester, papan kayu berkualitas, bahan dinding dengan kondisi kokoh dan kedap air </t>
        </is>
      </c>
      <c r="E21" s="186" t="n">
        <v>0</v>
      </c>
      <c r="F21" s="201" t="inlineStr">
        <is>
          <t>tembok kondisi sebagian besar retak, papan atau bahan lain yang kurang kokoh dan tidak kedap air</t>
        </is>
      </c>
      <c r="G21" s="284" t="n"/>
      <c r="H21" s="189" t="n">
        <v>0</v>
      </c>
      <c r="I21" s="203" t="inlineStr">
        <is>
          <t>anyaman bambu tipis, triplek, papan, tembok, atau bahan lain yang rapuh dan tidak kedap air</t>
        </is>
      </c>
      <c r="J21" s="284" t="n"/>
    </row>
    <row r="22" ht="36" customHeight="1">
      <c r="A22" s="199" t="inlineStr">
        <is>
          <t>Lantai</t>
        </is>
      </c>
      <c r="B22" s="282" t="n"/>
      <c r="C22" s="15" t="n">
        <v>0</v>
      </c>
      <c r="D22" s="17" t="inlineStr">
        <is>
          <t>Plester/ubin/keramik/ papan/bahan lain kondisi baik, kedap air</t>
        </is>
      </c>
      <c r="E22" s="186" t="n">
        <v>0</v>
      </c>
      <c r="F22" s="201" t="inlineStr">
        <is>
          <t xml:space="preserve">papan atau bahan lain dengan kondisi rusak, plester sebagian besar pecah </t>
        </is>
      </c>
      <c r="G22" s="284" t="n"/>
      <c r="H22" s="189" t="n">
        <v>0</v>
      </c>
      <c r="I22" s="205" t="inlineStr">
        <is>
          <t>tanah, papan atau bahan lain yang rapuh dan tidak kedap air</t>
        </is>
      </c>
      <c r="J22" s="284" t="n"/>
    </row>
    <row r="23" ht="48" customHeight="1">
      <c r="A23" s="199" t="inlineStr">
        <is>
          <t>Penutup Atap</t>
        </is>
      </c>
      <c r="B23" s="282" t="n"/>
      <c r="C23" s="15" t="n">
        <v>0</v>
      </c>
      <c r="D23" s="17" t="inlineStr">
        <is>
          <t>genteng/seng/spandek, bahan tradisional (ijuk/rumbia)/bahan lain kondisi baik, tidak bocor</t>
        </is>
      </c>
      <c r="E23" s="186" t="n">
        <v>0</v>
      </c>
      <c r="F23" s="201" t="inlineStr">
        <is>
          <t>genteng/seng/spandek, bahan tradisional (ijuk/rumbia)/bahan lain, kondisi rusak sebagian, bocor jika terjadi hujan lebat</t>
        </is>
      </c>
      <c r="G23" s="284" t="n"/>
      <c r="H23" s="189" t="n">
        <v>0</v>
      </c>
      <c r="I23" s="203" t="inlineStr">
        <is>
          <t>tanah, papan atau bahan lain yang rapuh dan tidak kedap air</t>
        </is>
      </c>
      <c r="J23" s="284" t="n"/>
    </row>
    <row r="24" ht="12" customHeight="1">
      <c r="A24" s="183" t="inlineStr">
        <is>
          <t>3. KESEHATAN &amp; KECUKUPAN LUAS</t>
        </is>
      </c>
      <c r="J24" s="282" t="n"/>
    </row>
    <row r="25" ht="24" customHeight="1">
      <c r="A25" s="207" t="inlineStr">
        <is>
          <t>Akses Air Minum</t>
        </is>
      </c>
      <c r="B25" s="282" t="n"/>
      <c r="C25" s="15" t="n">
        <v>0</v>
      </c>
      <c r="D25" s="17" t="inlineStr">
        <is>
          <t>Ada</t>
        </is>
      </c>
      <c r="E25" s="288" t="n"/>
      <c r="F25" s="283" t="n"/>
      <c r="G25" s="284" t="n"/>
      <c r="H25" s="189" t="n">
        <v>0</v>
      </c>
      <c r="I25" s="203" t="inlineStr">
        <is>
          <t>Tidak ada</t>
        </is>
      </c>
      <c r="J25" s="284" t="n"/>
    </row>
    <row r="26" ht="24" customHeight="1">
      <c r="A26" s="207" t="inlineStr">
        <is>
          <t>Akses Sanitasi</t>
        </is>
      </c>
      <c r="B26" s="282" t="n"/>
      <c r="C26" s="15" t="n">
        <v>0</v>
      </c>
      <c r="D26" s="17" t="inlineStr">
        <is>
          <t>Ada</t>
        </is>
      </c>
      <c r="E26" s="288" t="n"/>
      <c r="F26" s="283" t="n"/>
      <c r="G26" s="284" t="n"/>
      <c r="H26" s="189" t="n">
        <v>0</v>
      </c>
      <c r="I26" s="203" t="inlineStr">
        <is>
          <t>Tidak ada</t>
        </is>
      </c>
      <c r="J26" s="284" t="n"/>
    </row>
    <row r="27" ht="48" customHeight="1">
      <c r="A27" s="199" t="inlineStr">
        <is>
          <t>Pencahayaan</t>
        </is>
      </c>
      <c r="B27" s="282" t="n"/>
      <c r="C27" s="15" t="n">
        <v>0</v>
      </c>
      <c r="D27" s="17" t="inlineStr">
        <is>
          <t xml:space="preserve">Terang, dapat digunakan membaca dengan normal tanpa pencahayaan buatan pada siang hari </t>
        </is>
      </c>
      <c r="E27" s="186" t="n">
        <v>0</v>
      </c>
      <c r="F27" s="201" t="inlineStr">
        <is>
          <t xml:space="preserve">Terang, dapat digunakan membaca dengan normal tanpa pencahayaan buatan pada siang hari </t>
        </is>
      </c>
      <c r="G27" s="284" t="n"/>
      <c r="H27" s="189" t="n">
        <v>0</v>
      </c>
      <c r="I27" s="203" t="inlineStr">
        <is>
          <t>gelap, tidak dapat digunakan untuk membaca tanpa pencahayaan buatan pada siang hari</t>
        </is>
      </c>
      <c r="J27" s="284" t="n"/>
    </row>
    <row r="28" ht="24" customHeight="1">
      <c r="A28" s="199" t="inlineStr">
        <is>
          <t>Penghawaan</t>
        </is>
      </c>
      <c r="B28" s="282" t="n"/>
      <c r="C28" s="15" t="n">
        <v>0</v>
      </c>
      <c r="D28" s="17" t="inlineStr">
        <is>
          <t>cukup ventilasi, sirkulasi udara baik</t>
        </is>
      </c>
      <c r="E28" s="186" t="n">
        <v>0</v>
      </c>
      <c r="F28" s="201" t="inlineStr">
        <is>
          <t>ventilasi kurang, agak pengap</t>
        </is>
      </c>
      <c r="G28" s="284" t="n"/>
      <c r="H28" s="189" t="n">
        <v>0</v>
      </c>
      <c r="I28" s="203" t="inlineStr">
        <is>
          <t>tidak ada ventilasi, pengap, lembab</t>
        </is>
      </c>
      <c r="J28" s="284" t="n"/>
    </row>
    <row r="29" ht="36" customHeight="1">
      <c r="A29" s="207" t="inlineStr">
        <is>
          <t>Kecukupan luas ruang</t>
        </is>
      </c>
      <c r="B29" s="282" t="n"/>
      <c r="C29" s="15" t="n">
        <v>0</v>
      </c>
      <c r="D29" s="17" t="inlineStr">
        <is>
          <t>luas rumah dibagi jumlah penghuni, lebih atau sama dengan 7,2 m²</t>
        </is>
      </c>
      <c r="E29" s="288" t="n"/>
      <c r="F29" s="283" t="n"/>
      <c r="G29" s="284" t="n"/>
      <c r="H29" s="189" t="n">
        <v>0</v>
      </c>
      <c r="I29" s="203" t="inlineStr">
        <is>
          <t>luas rumah dibagi jumlah penghuni, kurang dari 7,2 m²</t>
        </is>
      </c>
      <c r="J29" s="284" t="n"/>
    </row>
    <row r="30" ht="12" customHeight="1">
      <c r="A30" s="183" t="inlineStr">
        <is>
          <t>4. STATUS LAHAN</t>
        </is>
      </c>
      <c r="J30" s="282" t="n"/>
    </row>
    <row r="31" ht="36" customHeight="1">
      <c r="A31" s="207" t="inlineStr">
        <is>
          <t>Status penguasaan lahan</t>
        </is>
      </c>
      <c r="B31" s="282" t="n"/>
      <c r="C31" s="15" t="n">
        <v>0</v>
      </c>
      <c r="D31" s="17" t="inlineStr">
        <is>
          <t>milik sendiri, ada bukti sah</t>
        </is>
      </c>
      <c r="E31" s="186" t="n">
        <v>0</v>
      </c>
      <c r="F31" s="201" t="inlineStr">
        <is>
          <t>sewa/pinjam pakai/izin tinggal/ menumpang, ada bukti sah</t>
        </is>
      </c>
      <c r="G31" s="284" t="n"/>
      <c r="H31" s="189" t="n">
        <v>0</v>
      </c>
      <c r="I31" s="203" t="inlineStr">
        <is>
          <t>tanpa bukti sah/ilegal</t>
        </is>
      </c>
      <c r="J31" s="284" t="n"/>
    </row>
    <row r="32" ht="12" customFormat="1" customHeight="1" s="9"/>
    <row r="33" ht="36" customFormat="1" customHeight="1" s="9">
      <c r="A33" s="289" t="inlineStr">
        <is>
          <t>Kesimpulan Kelayakan Rumah</t>
        </is>
      </c>
      <c r="B33" s="275" t="n"/>
      <c r="C33" s="275" t="n"/>
      <c r="D33" s="276" t="n"/>
      <c r="E33" s="290" t="inlineStr">
        <is>
          <t>Rekomendasi Penanganan</t>
        </is>
      </c>
      <c r="F33" s="276" t="n"/>
      <c r="G33" s="290" t="inlineStr">
        <is>
          <t>Nama &amp; TTD Surveyor</t>
        </is>
      </c>
      <c r="H33" s="276" t="n"/>
      <c r="I33" s="290" t="inlineStr">
        <is>
          <t>Catatan/Isu lainnya</t>
        </is>
      </c>
      <c r="J33" s="276" t="n"/>
    </row>
    <row r="34" ht="25.5" customFormat="1" customHeight="1" s="9">
      <c r="A34" s="18" t="n">
        <v>0</v>
      </c>
      <c r="B34" s="216" t="inlineStr">
        <is>
          <t>KK menumpang rumah / rumah tidak ditemukan</t>
        </is>
      </c>
      <c r="C34" s="275" t="n"/>
      <c r="D34" s="276" t="n"/>
      <c r="E34" s="19">
        <f>IF(AND($A$36=1,I3&lt;I4,OR(I6=0,I6&gt;10),I7&gt;=3,OR(C31=1,E31=1),E35=0),1,0)</f>
        <v/>
      </c>
      <c r="F34" s="20" t="inlineStr">
        <is>
          <t>Direkomendasikan BSPS saja</t>
        </is>
      </c>
      <c r="G34" s="291" t="n"/>
      <c r="H34" s="292" t="n"/>
      <c r="I34" s="293" t="n"/>
      <c r="J34" s="292" t="n"/>
    </row>
    <row r="35" ht="24" customFormat="1" customHeight="1" s="9">
      <c r="A35" s="18" t="n">
        <v>0</v>
      </c>
      <c r="B35" s="216" t="inlineStr">
        <is>
          <t>Rumah layak huni (RLH)</t>
        </is>
      </c>
      <c r="C35" s="275" t="n"/>
      <c r="D35" s="276" t="n"/>
      <c r="E35" s="19">
        <f>IF(AND(A36=1,OR(H25=1,H26=1)),1,0)</f>
        <v/>
      </c>
      <c r="F35" s="20" t="inlineStr">
        <is>
          <t>Direkomendasikan BSPS dengan dukungan Cipta Karya</t>
        </is>
      </c>
      <c r="G35" s="294" t="n"/>
      <c r="H35" s="295" t="n"/>
      <c r="I35" s="294" t="n"/>
      <c r="J35" s="295" t="n"/>
    </row>
    <row r="36" ht="24" customFormat="1" customHeight="1" s="9">
      <c r="A36" s="18" t="n">
        <v>0</v>
      </c>
      <c r="B36" s="216" t="inlineStr">
        <is>
          <t>Rumah tidak layak huni (RTLH)</t>
        </is>
      </c>
      <c r="C36" s="275" t="n"/>
      <c r="D36" s="276" t="n"/>
      <c r="E36" s="19" t="n">
        <v>0</v>
      </c>
      <c r="F36" s="20" t="inlineStr">
        <is>
          <t>Perlu dukungan Cipta Karya saja tanpa BSPS</t>
        </is>
      </c>
      <c r="G36" s="294" t="n"/>
      <c r="H36" s="295" t="n"/>
      <c r="I36" s="294" t="n"/>
      <c r="J36" s="295" t="n"/>
    </row>
    <row r="37" ht="24" customFormat="1" customHeight="1" s="9">
      <c r="A37" s="229" t="n"/>
      <c r="B37" s="275" t="n"/>
      <c r="C37" s="275" t="n"/>
      <c r="D37" s="276" t="n"/>
      <c r="E37" s="19" t="n">
        <v>0</v>
      </c>
      <c r="F37" s="20" t="inlineStr">
        <is>
          <t>Tidak dapat dibantu (tulis alasan di kolom catatan)</t>
        </is>
      </c>
      <c r="G37" s="296" t="n"/>
      <c r="H37" s="297" t="n"/>
      <c r="I37" s="296" t="n"/>
      <c r="J37" s="297" t="n"/>
    </row>
    <row r="38" ht="12" customFormat="1" customHeight="1" s="9"/>
    <row r="39" ht="36" customFormat="1" customHeight="1" s="9">
      <c r="A39" s="7" t="inlineStr">
        <is>
          <t>A.</t>
        </is>
      </c>
      <c r="B39" s="232" t="inlineStr">
        <is>
          <t>Dikategorikan rumah tidak layak huni jika menemui minimal satu dari kondisi berikut:</t>
        </is>
      </c>
      <c r="D39" s="295" t="n"/>
      <c r="E39" s="7" t="inlineStr">
        <is>
          <t>A</t>
        </is>
      </c>
      <c r="F39" s="231" t="inlineStr">
        <is>
          <t>Direkomendasikan BSPS jika:
1.	syarat RTLH terpenuhi
2.	penghasilan perbulan tidak lebih dari Upah Minimum Provinsi/Kab/Kota (UMP atau UMK)
3.	tidak pernah mendapat bantuan perumahan sejenis dalam kurun waktu 10 tahun terakhir
4.	menghuni/menguasai rumah tidak layak huni selama minimal 3 tahun
5.	Status lahan ada bukti sah kepemilikan, penguasaan, atau izin tinggal</t>
        </is>
      </c>
    </row>
    <row r="40" ht="24" customFormat="1" customHeight="1" s="9">
      <c r="A40" s="298" t="n">
        <v>1</v>
      </c>
      <c r="B40" s="234" t="inlineStr">
        <is>
          <t>Salah satu komponen struktur bernilai C;</t>
        </is>
      </c>
      <c r="D40" s="295" t="n"/>
    </row>
    <row r="41" ht="36" customFormat="1" customHeight="1" s="9">
      <c r="A41" s="298" t="n">
        <v>2</v>
      </c>
      <c r="B41" s="234" t="inlineStr">
        <is>
          <t>Dua atau lebih komponen struktur dan non-struktur (lantai, dinding, atap) bernilai B;</t>
        </is>
      </c>
      <c r="D41" s="295" t="n"/>
    </row>
    <row r="42" ht="24" customFormat="1" customHeight="1" s="9">
      <c r="A42" s="298" t="n">
        <v>3</v>
      </c>
      <c r="B42" s="234" t="inlineStr">
        <is>
          <t>Salah satu komponen non struktur (lantai, dinding, atap) bernilai C;</t>
        </is>
      </c>
      <c r="D42" s="295" t="n"/>
      <c r="E42" s="7" t="inlineStr">
        <is>
          <t>B</t>
        </is>
      </c>
      <c r="F42" s="231" t="inlineStr">
        <is>
          <t>Direkomendasikan BSPS dengan dukungan Cipta Karya jika syarat BSPS terpenuhi dan kondisi sanitasi atau akses air minum bernilai C.</t>
        </is>
      </c>
    </row>
    <row r="43" ht="24" customFormat="1" customHeight="1" s="9">
      <c r="A43" s="298" t="n">
        <v>4</v>
      </c>
      <c r="B43" s="234" t="inlineStr">
        <is>
          <t>Komponen kesehatan dan kecukupan luas salah satunya bernilai C.</t>
        </is>
      </c>
      <c r="D43" s="295" t="n"/>
      <c r="E43" s="7" t="inlineStr">
        <is>
          <t>C</t>
        </is>
      </c>
      <c r="F43" s="231" t="inlineStr">
        <is>
          <t>Jika kerusakan rumah hanya pada komponen sanitasi dan/atau air minum, maka perlu dukungan Cipta Karya saja tanpa BSPS.</t>
        </is>
      </c>
    </row>
    <row r="44" ht="72" customHeight="1">
      <c r="A44" s="7" t="inlineStr">
        <is>
          <t>B</t>
        </is>
      </c>
      <c r="B44" s="232" t="inlineStr">
        <is>
          <t>Selain kondisi di atas, atau jika penilaian seluruhnya bernilai A, maka dikategorikan rumah layak huni</t>
        </is>
      </c>
      <c r="D44" s="295" t="n"/>
      <c r="E44" s="7" t="inlineStr">
        <is>
          <t>D</t>
        </is>
      </c>
      <c r="F44" s="231" t="inlineStr">
        <is>
          <t>Kondisi tidak dapat dibantu:
1.	Pernah mendapat bantuan sejenis dalam 10 tahun terakhir, penghasilan di atas UMP/UMK, menghuni kurang dari 3 tahun, atau lahan tanpa bukti sah/ilegal;
2.	Kerusakan hanya pada aspek pencahayaan atau penghawaan; atau
3.	Kerusakan hanya pada kurangnya kecukupan luas ruang.</t>
        </is>
      </c>
    </row>
    <row r="45" ht="12" customFormat="1" customHeight="1" s="9"/>
    <row r="46" ht="12" customFormat="1" customHeight="1" s="9">
      <c r="G46" s="230" t="n"/>
    </row>
    <row r="47" ht="12" customFormat="1" customHeight="1" s="9">
      <c r="A47" s="230" t="inlineStr">
        <is>
          <t>Diperiksa oleh,</t>
        </is>
      </c>
      <c r="E47" s="230" t="inlineStr">
        <is>
          <t>Diketahui oleh,</t>
        </is>
      </c>
      <c r="G47" s="230" t="inlineStr">
        <is>
          <t>Dilakukan oleh,</t>
        </is>
      </c>
    </row>
    <row r="48" ht="12" customFormat="1" customHeight="1" s="9">
      <c r="A48" s="230" t="inlineStr">
        <is>
          <t>Koordinator Kabupaten/Kota</t>
        </is>
      </c>
      <c r="E48" s="230" t="inlineStr">
        <is>
          <t>Calon Penerima Bantuan</t>
        </is>
      </c>
      <c r="G48" s="230" t="inlineStr">
        <is>
          <t>Tenaga Fasilitator Lapangan</t>
        </is>
      </c>
    </row>
    <row r="49" ht="12" customFormat="1" customHeight="1" s="9"/>
    <row r="50" ht="12" customFormat="1" customHeight="1" s="9"/>
    <row r="51" ht="12" customFormat="1" customHeight="1" s="9"/>
    <row r="52" ht="12" customFormat="1" customHeight="1" s="9"/>
    <row r="53" ht="12" customFormat="1" customHeight="1" s="9">
      <c r="A53" s="236" t="inlineStr">
        <is>
          <t>…..........................................</t>
        </is>
      </c>
      <c r="E53" s="236">
        <f>$D$3</f>
        <v/>
      </c>
      <c r="G53" s="236" t="inlineStr">
        <is>
          <t>…..........................................</t>
        </is>
      </c>
    </row>
    <row r="54" ht="12" customFormat="1" customHeight="1" s="9"/>
    <row r="55" ht="12" customFormat="1" customHeight="1" s="9">
      <c r="A55" s="9" t="inlineStr">
        <is>
          <t>Keterangan :</t>
        </is>
      </c>
    </row>
    <row r="56" ht="12" customFormat="1" customHeight="1" s="9">
      <c r="A56" s="299" t="n">
        <v>1</v>
      </c>
      <c r="B56" s="9" t="inlineStr">
        <is>
          <t>Isilah dengan tanda √</t>
        </is>
      </c>
    </row>
    <row r="57" ht="12" customHeight="1">
      <c r="A57" s="299" t="n">
        <v>2</v>
      </c>
      <c r="B57" s="9" t="inlineStr">
        <is>
          <t>TFL perlu melampirkan foto pada tanda ( Foto ) dan di ceklis bila dilampirkan</t>
        </is>
      </c>
    </row>
    <row r="58" ht="12" customHeight="1">
      <c r="A58" s="299" t="n">
        <v>3</v>
      </c>
      <c r="B58" s="9" t="inlineStr">
        <is>
          <t>Informasi dapat ditambahkan berdasarkan kebutuhan</t>
        </is>
      </c>
    </row>
    <row r="59" ht="12" customHeight="1">
      <c r="A59" s="299" t="n">
        <v>4</v>
      </c>
      <c r="B59" s="9" t="inlineStr">
        <is>
          <t>Kriteria kelayakan:</t>
        </is>
      </c>
    </row>
    <row r="60" ht="24" customHeight="1">
      <c r="A60" s="23" t="inlineStr">
        <is>
          <t>−</t>
        </is>
      </c>
      <c r="B60" s="235" t="inlineStr">
        <is>
          <t>Apabila 3 komponen struktur minimal rusak sebagian/total, maka rumah dikategorikan sebagai rumah tidak layak huni dan dapat diusulkan</t>
        </is>
      </c>
    </row>
    <row r="61" ht="24" customHeight="1">
      <c r="A61" s="23" t="inlineStr">
        <is>
          <t>−</t>
        </is>
      </c>
      <c r="B61" s="235" t="inlineStr">
        <is>
          <t>Apabila 2 komponen struktur minimal rusak sebagian/total dan 3 komponen non struktur minimal rusak sebagian/total atau tidak mencukupi, maka rumah dikategorikan sebagai rumah tidak layak huni dan dapat diusulkan</t>
        </is>
      </c>
    </row>
    <row r="62" ht="12" customHeight="1">
      <c r="A62" s="23" t="inlineStr">
        <is>
          <t>−</t>
        </is>
      </c>
      <c r="B62" s="233" t="inlineStr">
        <is>
          <t>Apabila semua komponen bangunan rusak total dan/atau membahayakan, maka rumah dikategorikan sebagai rumah rusak total</t>
        </is>
      </c>
    </row>
    <row r="63" ht="12" customHeight="1">
      <c r="A63" s="299" t="n">
        <v>5</v>
      </c>
      <c r="B63" s="9" t="inlineStr">
        <is>
          <t>Isian format ini sebagai format penilaian kualitas rumah dan identifikasi kebutuhan perbaikan rumah.</t>
        </is>
      </c>
    </row>
    <row r="64" ht="12" customHeight="1">
      <c r="A64" s="299" t="n">
        <v>6</v>
      </c>
      <c r="B64" s="9" t="inlineStr">
        <is>
          <t>Lembar verifikasi CPB dapat diprint secara online melalui aplikasi mobile e-BSPS.</t>
        </is>
      </c>
    </row>
    <row r="65" ht="12" customHeight="1">
      <c r="A65" s="299" t="n">
        <v>7</v>
      </c>
      <c r="B65" s="9" t="inlineStr">
        <is>
          <t>Tingkat kerusakan:</t>
        </is>
      </c>
    </row>
    <row r="66" ht="12" customHeight="1">
      <c r="A66" s="23" t="inlineStr">
        <is>
          <t>−</t>
        </is>
      </c>
      <c r="B66" s="235" t="inlineStr">
        <is>
          <t>Tingkat kerusakan ringan hingga 30% dari volume total</t>
        </is>
      </c>
    </row>
    <row r="67" ht="12" customHeight="1">
      <c r="A67" s="23" t="inlineStr">
        <is>
          <t>−</t>
        </is>
      </c>
      <c r="B67" s="235" t="inlineStr">
        <is>
          <t>Tingkat kerusakan sedang hingga 45% dari volume total</t>
        </is>
      </c>
    </row>
    <row r="68" ht="12" customHeight="1">
      <c r="A68" s="23" t="inlineStr">
        <is>
          <t>−</t>
        </is>
      </c>
      <c r="B68" s="235" t="inlineStr">
        <is>
          <t>Tingkat	kerusakan berat hingga 65% dari volume total</t>
        </is>
      </c>
    </row>
    <row r="69" ht="12" customHeight="1">
      <c r="B69" s="235" t="n"/>
    </row>
    <row r="70" ht="12" customHeight="1"/>
    <row r="71" ht="12" customHeight="1"/>
  </sheetData>
  <mergeCells count="100">
    <mergeCell ref="B42:D42"/>
    <mergeCell ref="A15:B15"/>
    <mergeCell ref="E13:G13"/>
    <mergeCell ref="B67:J67"/>
    <mergeCell ref="F16:G16"/>
    <mergeCell ref="B61:J61"/>
    <mergeCell ref="G47:J47"/>
    <mergeCell ref="B44:D44"/>
    <mergeCell ref="I26:J26"/>
    <mergeCell ref="B34:D34"/>
    <mergeCell ref="G46:J46"/>
    <mergeCell ref="D6:E6"/>
    <mergeCell ref="F15:G15"/>
    <mergeCell ref="I16:J16"/>
    <mergeCell ref="I25:J25"/>
    <mergeCell ref="E26:G26"/>
    <mergeCell ref="A27:B27"/>
    <mergeCell ref="I18:J18"/>
    <mergeCell ref="D7:E7"/>
    <mergeCell ref="I34:J37"/>
    <mergeCell ref="F23:G23"/>
    <mergeCell ref="D4:E4"/>
    <mergeCell ref="A17:B17"/>
    <mergeCell ref="A22:B22"/>
    <mergeCell ref="G53:J53"/>
    <mergeCell ref="A19:B19"/>
    <mergeCell ref="B66:J66"/>
    <mergeCell ref="A28:B28"/>
    <mergeCell ref="E53:F53"/>
    <mergeCell ref="A33:D33"/>
    <mergeCell ref="B43:D43"/>
    <mergeCell ref="F39:J41"/>
    <mergeCell ref="A12:B13"/>
    <mergeCell ref="A31:B31"/>
    <mergeCell ref="A14:J14"/>
    <mergeCell ref="I6:J6"/>
    <mergeCell ref="A53:D53"/>
    <mergeCell ref="D10:E10"/>
    <mergeCell ref="I15:J15"/>
    <mergeCell ref="F19:G19"/>
    <mergeCell ref="E48:F48"/>
    <mergeCell ref="I7:J7"/>
    <mergeCell ref="A48:D48"/>
    <mergeCell ref="F18:G18"/>
    <mergeCell ref="A24:J24"/>
    <mergeCell ref="F17:G17"/>
    <mergeCell ref="A26:B26"/>
    <mergeCell ref="B36:D36"/>
    <mergeCell ref="G48:J48"/>
    <mergeCell ref="G33:H33"/>
    <mergeCell ref="I33:J33"/>
    <mergeCell ref="F31:G31"/>
    <mergeCell ref="F28:G28"/>
    <mergeCell ref="D9:E9"/>
    <mergeCell ref="I17:J17"/>
    <mergeCell ref="I19:J19"/>
    <mergeCell ref="B39:D39"/>
    <mergeCell ref="G34:H37"/>
    <mergeCell ref="B60:J60"/>
    <mergeCell ref="A20:J20"/>
    <mergeCell ref="F21:G21"/>
    <mergeCell ref="H13:J13"/>
    <mergeCell ref="A30:J30"/>
    <mergeCell ref="I21:J21"/>
    <mergeCell ref="A21:B21"/>
    <mergeCell ref="B41:D41"/>
    <mergeCell ref="B35:D35"/>
    <mergeCell ref="F22:G22"/>
    <mergeCell ref="I23:J23"/>
    <mergeCell ref="A23:B23"/>
    <mergeCell ref="D3:E3"/>
    <mergeCell ref="B62:J62"/>
    <mergeCell ref="A37:D37"/>
    <mergeCell ref="D5:E5"/>
    <mergeCell ref="F44:J44"/>
    <mergeCell ref="E33:F33"/>
    <mergeCell ref="I27:J27"/>
    <mergeCell ref="A16:B16"/>
    <mergeCell ref="A25:B25"/>
    <mergeCell ref="B40:D40"/>
    <mergeCell ref="F42:J42"/>
    <mergeCell ref="I22:J22"/>
    <mergeCell ref="I28:J28"/>
    <mergeCell ref="A18:B18"/>
    <mergeCell ref="E25:G25"/>
    <mergeCell ref="B68:J68"/>
    <mergeCell ref="I3:J3"/>
    <mergeCell ref="A1:J1"/>
    <mergeCell ref="C12:J12"/>
    <mergeCell ref="F27:G27"/>
    <mergeCell ref="D8:E8"/>
    <mergeCell ref="I29:J29"/>
    <mergeCell ref="F43:J43"/>
    <mergeCell ref="I4:J4"/>
    <mergeCell ref="A29:B29"/>
    <mergeCell ref="C13:D13"/>
    <mergeCell ref="I31:J31"/>
    <mergeCell ref="A47:D47"/>
    <mergeCell ref="E29:G29"/>
    <mergeCell ref="E47:F47"/>
  </mergeCells>
  <dataValidations count="1">
    <dataValidation sqref="A34:A36 C15:C19 C21:C23 C25:C29 C31 E15:E19 E21:E23 E27:E28 E31 H15:H19 H21:H23 H25:H29 H31" showDropDown="0" showInputMessage="1" showErrorMessage="1" allowBlank="1" type="list">
      <formula1>"1,0"</formula1>
    </dataValidation>
  </dataValidations>
  <pageMargins left="0.984251968503937" right="0.7874015748031497" top="0.7874015748031497" bottom="0.7874015748031497" header="0.3149606299212598" footer="0.3149606299212598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F12"/>
  <sheetViews>
    <sheetView workbookViewId="0">
      <selection activeCell="D4" sqref="D4"/>
    </sheetView>
  </sheetViews>
  <sheetFormatPr baseColWidth="8" defaultRowHeight="15"/>
  <cols>
    <col width="23.5703125" bestFit="1" customWidth="1" min="1" max="1"/>
    <col width="19" bestFit="1" customWidth="1" min="2" max="2"/>
    <col hidden="1" width="13" customWidth="1" min="5" max="5"/>
    <col hidden="1" width="9.140625" customWidth="1" min="6" max="6"/>
  </cols>
  <sheetData>
    <row r="1">
      <c r="A1" s="49" t="inlineStr">
        <is>
          <t>KOLOM IDENTITAS</t>
        </is>
      </c>
      <c r="B1" s="49" t="inlineStr">
        <is>
          <t>KOLOM ISIAN</t>
        </is>
      </c>
    </row>
    <row r="2">
      <c r="A2" s="33" t="inlineStr">
        <is>
          <t>Kabupaten</t>
        </is>
      </c>
      <c r="B2" s="30" t="inlineStr">
        <is>
          <t>BANDUNG</t>
        </is>
      </c>
      <c r="E2" t="inlineStr">
        <is>
          <t>Kabupaten</t>
        </is>
      </c>
      <c r="F2" t="inlineStr">
        <is>
          <t>Kota</t>
        </is>
      </c>
    </row>
    <row r="3">
      <c r="A3" s="33" t="inlineStr">
        <is>
          <t>Kecamatan</t>
        </is>
      </c>
      <c r="B3" s="50" t="inlineStr">
        <is>
          <t>PASEH</t>
        </is>
      </c>
    </row>
    <row r="4">
      <c r="A4" s="33" t="inlineStr">
        <is>
          <t>Desa</t>
        </is>
      </c>
      <c r="B4" s="50" t="inlineStr">
        <is>
          <t>LOA</t>
        </is>
      </c>
      <c r="E4" t="inlineStr">
        <is>
          <t>Desa</t>
        </is>
      </c>
      <c r="F4" t="inlineStr">
        <is>
          <t>Kelurahan</t>
        </is>
      </c>
    </row>
    <row r="5">
      <c r="A5" s="33">
        <f>"Nama "&amp;IF(A4="Desa","Kepala Desa","Lurah")</f>
        <v/>
      </c>
      <c r="B5" s="50" t="inlineStr">
        <is>
          <t>...</t>
        </is>
      </c>
    </row>
    <row r="6">
      <c r="A6" s="33" t="inlineStr">
        <is>
          <t>NIP Lurah *Jika Lurah</t>
        </is>
      </c>
      <c r="B6" s="51" t="n"/>
    </row>
    <row r="7">
      <c r="A7" s="33">
        <f>"Nama "&amp;IF(A2="Kabupaten","Korkab","Korkot")</f>
        <v/>
      </c>
      <c r="B7" s="30" t="inlineStr">
        <is>
          <t>...</t>
        </is>
      </c>
    </row>
    <row r="8">
      <c r="A8" s="33" t="inlineStr">
        <is>
          <t>Nama TFL Teknik</t>
        </is>
      </c>
      <c r="B8" s="50" t="inlineStr">
        <is>
          <t>...</t>
        </is>
      </c>
    </row>
    <row r="9">
      <c r="A9" s="33" t="inlineStr">
        <is>
          <t>Nama TFL Pemberdayaan</t>
        </is>
      </c>
      <c r="B9" s="50" t="inlineStr">
        <is>
          <t>...</t>
        </is>
      </c>
    </row>
    <row r="11">
      <c r="A11" s="48" t="inlineStr">
        <is>
          <t>Catatan</t>
        </is>
      </c>
    </row>
    <row r="12">
      <c r="A12" t="inlineStr">
        <is>
          <t>1. Jika ada di Kabupaten tertentu terdapat Kelurahan maka isi pada KOLOM IDENTITAS disesuaikan (Contoh: Kelurahan / Desa</t>
        </is>
      </c>
    </row>
  </sheetData>
  <dataValidations count="1">
    <dataValidation sqref="A2" showDropDown="0" showInputMessage="1" showErrorMessage="1" allowBlank="1" errorTitle="Pilih Salah Satu" error="Silahkan pilih &quot;Kabupaten&quot; atau &quot;Kota&quot;" type="list">
      <formula1>$E$2:$F$2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1"/>
  <sheetViews>
    <sheetView showGridLines="0" view="pageBreakPreview" topLeftCell="A10" zoomScale="54" zoomScaleSheetLayoutView="54" workbookViewId="0">
      <selection activeCell="W24" sqref="W24:Y31"/>
    </sheetView>
  </sheetViews>
  <sheetFormatPr baseColWidth="8" defaultColWidth="8.42578125" defaultRowHeight="14.25" customHeight="1"/>
  <cols>
    <col width="4.28515625" customWidth="1" style="135" min="1" max="1"/>
    <col width="6.85546875" customWidth="1" style="135" min="2" max="2"/>
    <col width="28.42578125" customWidth="1" style="135" min="3" max="3"/>
    <col width="9" customWidth="1" style="135" min="4" max="4"/>
    <col width="25" customWidth="1" style="148" min="5" max="6"/>
    <col width="48.140625" customWidth="1" style="149" min="7" max="7"/>
    <col width="4" customWidth="1" style="135" min="8" max="8"/>
    <col width="4.140625" customWidth="1" style="135" min="9" max="13"/>
    <col width="15.42578125" customWidth="1" style="135" min="14" max="14"/>
    <col width="18.85546875" customWidth="1" style="135" min="15" max="15"/>
    <col width="44" customWidth="1" style="135" min="16" max="16"/>
    <col width="15" bestFit="1" customWidth="1" style="135" min="17" max="17"/>
    <col width="20.28515625" customWidth="1" style="135" min="18" max="18"/>
    <col width="18.42578125" customWidth="1" style="135" min="19" max="19"/>
    <col hidden="1" width="17.42578125" customWidth="1" style="148" min="20" max="21"/>
    <col width="29.85546875" customWidth="1" style="135" min="22" max="22"/>
    <col width="34" bestFit="1" customWidth="1" style="150" min="23" max="23"/>
    <col width="18.28515625" customWidth="1" style="150" min="24" max="25"/>
    <col width="8.42578125" customWidth="1" style="135" min="26" max="29"/>
    <col hidden="1" width="8.42578125" customWidth="1" style="135" min="30" max="30"/>
    <col width="8.42578125" customWidth="1" style="135" min="31" max="31"/>
    <col width="8.42578125" customWidth="1" style="135" min="32" max="16384"/>
  </cols>
  <sheetData>
    <row r="1" ht="14.25" customFormat="1" customHeight="1" s="70">
      <c r="E1" s="245" t="n"/>
      <c r="F1" s="245" t="n"/>
      <c r="G1" s="125" t="n"/>
      <c r="T1" s="245" t="n"/>
      <c r="U1" s="245" t="n"/>
      <c r="V1" s="126" t="inlineStr">
        <is>
          <t>Format II-4</t>
        </is>
      </c>
      <c r="W1" s="127" t="n"/>
      <c r="X1" s="127" t="n"/>
      <c r="Y1" s="127" t="n"/>
    </row>
    <row r="2" ht="14.25" customFormat="1" customHeight="1" s="70">
      <c r="E2" s="245" t="n"/>
      <c r="F2" s="245" t="n"/>
      <c r="G2" s="125" t="n"/>
      <c r="T2" s="245" t="n"/>
      <c r="U2" s="245" t="n"/>
      <c r="V2" s="126" t="inlineStr">
        <is>
          <t>REKAPITULASI HASIL VERIFIKASI CALON PENERIMA BANTUAN</t>
        </is>
      </c>
      <c r="W2" s="127" t="n"/>
      <c r="X2" s="127" t="n"/>
      <c r="Y2" s="127" t="n"/>
    </row>
    <row r="3" ht="14.25" customFormat="1" customHeight="1" s="70">
      <c r="A3" s="237" t="inlineStr">
        <is>
          <t>REKAPITULASI HASIL VERIFIKASI CALON PENERIMA BANTUAN KEGIATAN BSPS</t>
        </is>
      </c>
      <c r="W3" s="127" t="n"/>
      <c r="X3" s="127" t="n"/>
      <c r="Y3" s="127" t="n"/>
      <c r="AD3" s="129" t="n"/>
    </row>
    <row r="4" ht="14.25" customFormat="1" customHeight="1" s="70">
      <c r="A4" s="245" t="n"/>
      <c r="W4" s="127" t="n"/>
      <c r="X4" s="127" t="n"/>
      <c r="Y4" s="127" t="n"/>
    </row>
    <row r="5" ht="14.25" customFormat="1" customHeight="1" s="132">
      <c r="A5" s="130">
        <f>Source!A4</f>
        <v/>
      </c>
      <c r="B5" s="130" t="n"/>
      <c r="C5" s="131" t="n"/>
      <c r="D5" s="242">
        <f>": "&amp;Source!B4</f>
        <v/>
      </c>
      <c r="F5" s="245" t="n"/>
      <c r="G5" s="125" t="n"/>
      <c r="H5" s="63" t="n"/>
      <c r="I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245" t="n"/>
      <c r="U5" s="245" t="n"/>
      <c r="V5" s="63" t="n"/>
      <c r="W5" s="133" t="n"/>
      <c r="X5" s="133" t="n"/>
      <c r="Y5" s="133" t="n"/>
    </row>
    <row r="6" ht="14.25" customFormat="1" customHeight="1" s="132">
      <c r="A6" s="130">
        <f>Source!A3</f>
        <v/>
      </c>
      <c r="B6" s="130" t="n"/>
      <c r="C6" s="131" t="n"/>
      <c r="D6" s="242">
        <f>": "&amp;Source!B3</f>
        <v/>
      </c>
      <c r="F6" s="245" t="n"/>
      <c r="G6" s="125" t="n"/>
      <c r="H6" s="63" t="n"/>
      <c r="I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245" t="n"/>
      <c r="U6" s="245" t="n"/>
      <c r="V6" s="63" t="n"/>
      <c r="W6" s="133" t="n"/>
      <c r="X6" s="133" t="n"/>
      <c r="Y6" s="133" t="n"/>
      <c r="AG6" s="134" t="n"/>
      <c r="AH6" s="134" t="n"/>
    </row>
    <row r="7" ht="14.25" customFormat="1" customHeight="1" s="132">
      <c r="A7" s="130">
        <f>Source!A2</f>
        <v/>
      </c>
      <c r="B7" s="130" t="n"/>
      <c r="C7" s="131" t="n"/>
      <c r="D7" s="242">
        <f>": "&amp;Source!B2</f>
        <v/>
      </c>
      <c r="F7" s="245" t="n"/>
      <c r="G7" s="125" t="n"/>
      <c r="H7" s="63" t="n"/>
      <c r="I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245" t="n"/>
      <c r="U7" s="245" t="n"/>
      <c r="V7" s="63" t="n"/>
      <c r="W7" s="133" t="n"/>
      <c r="X7" s="133" t="n"/>
      <c r="Y7" s="133" t="n"/>
    </row>
    <row r="8" ht="14.25" customFormat="1" customHeight="1" s="132">
      <c r="A8" s="130" t="inlineStr">
        <is>
          <t>Provinsi</t>
        </is>
      </c>
      <c r="B8" s="130" t="n"/>
      <c r="C8" s="131" t="n"/>
      <c r="D8" s="242" t="inlineStr">
        <is>
          <t>: Jawa Barat</t>
        </is>
      </c>
      <c r="F8" s="245" t="n"/>
      <c r="G8" s="125" t="n"/>
      <c r="H8" s="63" t="n"/>
      <c r="I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245" t="n"/>
      <c r="U8" s="245" t="n"/>
      <c r="V8" s="63" t="n"/>
      <c r="W8" s="244" t="inlineStr">
        <is>
          <t>Diisi juga kolom ini</t>
        </is>
      </c>
    </row>
    <row r="10" ht="27.95" customHeight="1">
      <c r="A10" s="84" t="inlineStr">
        <is>
          <t>No.</t>
        </is>
      </c>
      <c r="B10" s="238" t="inlineStr">
        <is>
          <t>No.
BNBA</t>
        </is>
      </c>
      <c r="C10" s="238" t="inlineStr">
        <is>
          <t>NAMA</t>
        </is>
      </c>
      <c r="D10" s="238" t="inlineStr">
        <is>
          <t>JENIS KELAMIN (L/P)</t>
        </is>
      </c>
      <c r="E10" s="300" t="inlineStr">
        <is>
          <t>NIK</t>
        </is>
      </c>
      <c r="F10" s="238" t="inlineStr">
        <is>
          <t>NO. KK</t>
        </is>
      </c>
      <c r="G10" s="238" t="inlineStr">
        <is>
          <t>ALAMAT TEMPAT TINGGAL</t>
        </is>
      </c>
      <c r="H10" s="240" t="inlineStr">
        <is>
          <t>PEMENUHAN KRITERIA *)</t>
        </is>
      </c>
      <c r="I10" s="275" t="n"/>
      <c r="J10" s="275" t="n"/>
      <c r="K10" s="275" t="n"/>
      <c r="L10" s="275" t="n"/>
      <c r="M10" s="275" t="n"/>
      <c r="N10" s="238" t="inlineStr">
        <is>
          <t>HASIL VERIFIKASI</t>
        </is>
      </c>
      <c r="O10" s="276" t="n"/>
      <c r="P10" s="238" t="inlineStr">
        <is>
          <t>ALASAN TIDAK LOLOS **)</t>
        </is>
      </c>
      <c r="Q10" s="238" t="inlineStr">
        <is>
          <t>KESWADAYAAN</t>
        </is>
      </c>
      <c r="R10" s="276" t="n"/>
      <c r="S10" s="238" t="inlineStr">
        <is>
          <t>PENANGANAN</t>
        </is>
      </c>
      <c r="T10" s="238" t="inlineStr">
        <is>
          <t xml:space="preserve">Titik Koordinat </t>
        </is>
      </c>
      <c r="U10" s="276" t="n"/>
      <c r="V10" s="238" t="inlineStr">
        <is>
          <t>KET.</t>
        </is>
      </c>
      <c r="W10" s="238" t="inlineStr">
        <is>
          <t>TEMPAT &amp; TANGGAL LAHIR CPB</t>
        </is>
      </c>
      <c r="X10" s="238" t="inlineStr">
        <is>
          <t>NAMA IBU KANDUNG</t>
        </is>
      </c>
      <c r="Y10" s="238" t="inlineStr">
        <is>
          <t>STATUS PERKAWINAN *Sesuai KTP</t>
        </is>
      </c>
    </row>
    <row r="11" ht="46.5" customHeight="1">
      <c r="A11" s="279" t="n"/>
      <c r="B11" s="279" t="n"/>
      <c r="C11" s="279" t="n"/>
      <c r="D11" s="279" t="n"/>
      <c r="E11" s="301" t="n"/>
      <c r="F11" s="279" t="n"/>
      <c r="G11" s="279" t="n"/>
      <c r="H11" s="241" t="inlineStr">
        <is>
          <t>A</t>
        </is>
      </c>
      <c r="I11" s="238" t="inlineStr">
        <is>
          <t>B</t>
        </is>
      </c>
      <c r="J11" s="238" t="inlineStr">
        <is>
          <t>C</t>
        </is>
      </c>
      <c r="K11" s="238" t="inlineStr">
        <is>
          <t>D</t>
        </is>
      </c>
      <c r="L11" s="238" t="inlineStr">
        <is>
          <t>E</t>
        </is>
      </c>
      <c r="M11" s="238" t="inlineStr">
        <is>
          <t>F</t>
        </is>
      </c>
      <c r="N11" s="238" t="inlineStr">
        <is>
          <t>LOLOS</t>
        </is>
      </c>
      <c r="O11" s="238" t="inlineStr">
        <is>
          <t>TIDAK LOLOS</t>
        </is>
      </c>
      <c r="P11" s="279" t="n"/>
      <c r="Q11" s="238" t="inlineStr">
        <is>
          <t>UANG
(RP)</t>
        </is>
      </c>
      <c r="R11" s="238" t="inlineStr">
        <is>
          <t>MATERIAL
*)</t>
        </is>
      </c>
      <c r="S11" s="238" t="inlineStr">
        <is>
          <t>(FEROSEMEN/ KONVENSIONAL/ KAYU</t>
        </is>
      </c>
      <c r="T11" s="238" t="inlineStr">
        <is>
          <t>S</t>
        </is>
      </c>
      <c r="U11" s="238" t="inlineStr">
        <is>
          <t>E</t>
        </is>
      </c>
      <c r="V11" s="279" t="n"/>
      <c r="W11" s="279" t="n"/>
      <c r="X11" s="279" t="n"/>
      <c r="Y11" s="279" t="n"/>
    </row>
    <row r="12" ht="15.95" customHeight="1">
      <c r="A12" s="84" t="n">
        <v>1</v>
      </c>
      <c r="B12" s="85" t="n">
        <v>2</v>
      </c>
      <c r="C12" s="240" t="n">
        <v>3</v>
      </c>
      <c r="D12" s="251" t="n">
        <v>4</v>
      </c>
      <c r="E12" s="240" t="n">
        <v>5</v>
      </c>
      <c r="F12" s="238" t="n">
        <v>6</v>
      </c>
      <c r="G12" s="238" t="n">
        <v>7</v>
      </c>
      <c r="H12" s="241" t="n">
        <v>8</v>
      </c>
      <c r="I12" s="238" t="n">
        <v>9</v>
      </c>
      <c r="J12" s="238" t="n">
        <v>10</v>
      </c>
      <c r="K12" s="238" t="n">
        <v>11</v>
      </c>
      <c r="L12" s="238" t="n">
        <v>12</v>
      </c>
      <c r="M12" s="238" t="n">
        <v>13</v>
      </c>
      <c r="N12" s="238" t="n">
        <v>14</v>
      </c>
      <c r="O12" s="238" t="n">
        <v>15</v>
      </c>
      <c r="P12" s="238" t="n">
        <v>16</v>
      </c>
      <c r="Q12" s="238" t="n">
        <v>17</v>
      </c>
      <c r="R12" s="238" t="n">
        <v>18</v>
      </c>
      <c r="S12" s="238" t="n">
        <v>19</v>
      </c>
      <c r="T12" s="238" t="n">
        <v>20</v>
      </c>
      <c r="U12" s="238" t="n">
        <v>21</v>
      </c>
      <c r="V12" s="238" t="n">
        <v>20</v>
      </c>
      <c r="W12" s="238" t="n"/>
      <c r="X12" s="238" t="n"/>
      <c r="Y12" s="238" t="n"/>
      <c r="AA12" s="302" t="n"/>
      <c r="AB12" s="302" t="n"/>
      <c r="AC12" s="302" t="n"/>
    </row>
    <row r="13" ht="24" customHeight="1">
      <c r="A13" s="84" t="n">
        <v>1</v>
      </c>
      <c r="B13" s="86" t="n">
        <v>1</v>
      </c>
      <c r="C13" s="99" t="inlineStr">
        <is>
          <t>AAM</t>
        </is>
      </c>
      <c r="D13" s="87" t="n"/>
      <c r="E13" s="151" t="inlineStr">
        <is>
          <t>3204350610650002</t>
        </is>
      </c>
      <c r="F13" s="151" t="inlineStr">
        <is>
          <t>3204352312050145</t>
        </is>
      </c>
      <c r="G13" s="99" t="inlineStr">
        <is>
          <t>KP LENGGO RT 2 RW 11</t>
        </is>
      </c>
      <c r="H13" s="88" t="inlineStr">
        <is>
          <t>√</t>
        </is>
      </c>
      <c r="I13" s="88" t="inlineStr">
        <is>
          <t>√</t>
        </is>
      </c>
      <c r="J13" s="88" t="inlineStr">
        <is>
          <t>√</t>
        </is>
      </c>
      <c r="K13" s="88" t="inlineStr">
        <is>
          <t>√</t>
        </is>
      </c>
      <c r="L13" s="88" t="inlineStr">
        <is>
          <t>√</t>
        </is>
      </c>
      <c r="M13" s="88" t="inlineStr">
        <is>
          <t>√</t>
        </is>
      </c>
      <c r="N13" s="84" t="inlineStr">
        <is>
          <t>LOLOS</t>
        </is>
      </c>
      <c r="O13" s="84" t="n"/>
      <c r="P13" s="89" t="n"/>
      <c r="Q13" s="303" t="n"/>
      <c r="R13" s="86" t="n"/>
      <c r="S13" s="86" t="n"/>
      <c r="T13" s="91" t="n">
        <v>-7.066851</v>
      </c>
      <c r="U13" s="91" t="n">
        <v>107.78175572</v>
      </c>
      <c r="V13" s="92" t="n"/>
      <c r="W13" s="93" t="n"/>
      <c r="X13" s="94" t="n"/>
      <c r="Y13" s="95" t="n"/>
      <c r="AA13" s="302" t="n"/>
      <c r="AB13" s="302" t="n"/>
      <c r="AC13" s="302" t="n"/>
      <c r="AD13" s="135" t="n"/>
    </row>
    <row r="14" ht="24" customHeight="1">
      <c r="A14" s="84" t="n">
        <v>2</v>
      </c>
      <c r="B14" s="86" t="n">
        <v>2</v>
      </c>
      <c r="C14" s="99" t="inlineStr">
        <is>
          <t>ENGKUS</t>
        </is>
      </c>
      <c r="D14" s="87" t="n"/>
      <c r="E14" s="151" t="inlineStr">
        <is>
          <t>3204350408910001</t>
        </is>
      </c>
      <c r="F14" s="151" t="inlineStr">
        <is>
          <t>3204350807190015</t>
        </is>
      </c>
      <c r="G14" s="99" t="inlineStr">
        <is>
          <t>KP TIISDINGIN RT 2 RW 6</t>
        </is>
      </c>
      <c r="H14" s="88" t="inlineStr">
        <is>
          <t>√</t>
        </is>
      </c>
      <c r="I14" s="88" t="inlineStr">
        <is>
          <t>√</t>
        </is>
      </c>
      <c r="J14" s="88" t="inlineStr">
        <is>
          <t>√</t>
        </is>
      </c>
      <c r="K14" s="88" t="inlineStr">
        <is>
          <t>√</t>
        </is>
      </c>
      <c r="L14" s="88" t="inlineStr">
        <is>
          <t>√</t>
        </is>
      </c>
      <c r="M14" s="88" t="inlineStr">
        <is>
          <t>√</t>
        </is>
      </c>
      <c r="N14" s="84" t="inlineStr">
        <is>
          <t>LOLOS</t>
        </is>
      </c>
      <c r="O14" s="84" t="n"/>
      <c r="P14" s="89" t="n"/>
      <c r="Q14" s="303" t="n"/>
      <c r="R14" s="86" t="n"/>
      <c r="S14" s="86" t="n"/>
      <c r="T14" s="67" t="n">
        <v>-7.07871371</v>
      </c>
      <c r="U14" s="67" t="n">
        <v>107.79092113</v>
      </c>
      <c r="V14" s="92" t="n"/>
      <c r="W14" s="93" t="n"/>
      <c r="X14" s="94" t="n"/>
      <c r="Y14" s="95" t="n"/>
      <c r="AA14" s="302" t="n"/>
      <c r="AB14" s="302" t="n"/>
      <c r="AC14" s="302" t="n"/>
      <c r="AD14" s="135" t="n"/>
    </row>
    <row r="15" ht="24" customHeight="1">
      <c r="A15" s="84" t="n">
        <v>3</v>
      </c>
      <c r="B15" s="86" t="n">
        <v>3</v>
      </c>
      <c r="C15" s="99" t="inlineStr">
        <is>
          <t>SARIFUDIN</t>
        </is>
      </c>
      <c r="D15" s="87" t="n"/>
      <c r="E15" s="151" t="inlineStr">
        <is>
          <t>3204352307940008</t>
        </is>
      </c>
      <c r="F15" s="151" t="inlineStr">
        <is>
          <t>3204352609140021</t>
        </is>
      </c>
      <c r="G15" s="99" t="inlineStr">
        <is>
          <t>KP LOA RT 3 RW 10</t>
        </is>
      </c>
      <c r="H15" s="88" t="inlineStr">
        <is>
          <t>√</t>
        </is>
      </c>
      <c r="I15" s="88" t="inlineStr">
        <is>
          <t>√</t>
        </is>
      </c>
      <c r="J15" s="88" t="inlineStr">
        <is>
          <t>√</t>
        </is>
      </c>
      <c r="K15" s="88" t="inlineStr">
        <is>
          <t>√</t>
        </is>
      </c>
      <c r="L15" s="88" t="inlineStr">
        <is>
          <t>√</t>
        </is>
      </c>
      <c r="M15" s="88" t="inlineStr">
        <is>
          <t>√</t>
        </is>
      </c>
      <c r="N15" s="84" t="inlineStr">
        <is>
          <t>LOLOS</t>
        </is>
      </c>
      <c r="O15" s="84" t="n"/>
      <c r="P15" s="89" t="n"/>
      <c r="Q15" s="303" t="n"/>
      <c r="R15" s="86" t="n"/>
      <c r="S15" s="86" t="n"/>
      <c r="T15" s="67" t="n">
        <v>-7.07484315</v>
      </c>
      <c r="U15" s="67" t="n">
        <v>107.78680648</v>
      </c>
      <c r="V15" s="92" t="n"/>
      <c r="W15" s="93" t="n"/>
      <c r="X15" s="94" t="n"/>
      <c r="Y15" s="95" t="n"/>
      <c r="AA15" s="302" t="n"/>
      <c r="AB15" s="302" t="n"/>
      <c r="AC15" s="302" t="n"/>
    </row>
    <row r="16" ht="24" customHeight="1">
      <c r="A16" s="84" t="n">
        <v>4</v>
      </c>
      <c r="B16" s="86" t="n">
        <v>4</v>
      </c>
      <c r="C16" s="99" t="inlineStr">
        <is>
          <t>AHMAD</t>
        </is>
      </c>
      <c r="D16" s="87" t="n"/>
      <c r="E16" s="151" t="inlineStr">
        <is>
          <t>3204351702540001</t>
        </is>
      </c>
      <c r="F16" s="151" t="inlineStr">
        <is>
          <t>3204352508050248</t>
        </is>
      </c>
      <c r="G16" s="99" t="inlineStr">
        <is>
          <t>KP CILOPANG 001/003 RT 01 RW 03</t>
        </is>
      </c>
      <c r="H16" s="88" t="inlineStr">
        <is>
          <t>√</t>
        </is>
      </c>
      <c r="I16" s="88" t="inlineStr">
        <is>
          <t>√</t>
        </is>
      </c>
      <c r="J16" s="88" t="inlineStr">
        <is>
          <t>√</t>
        </is>
      </c>
      <c r="K16" s="88" t="inlineStr">
        <is>
          <t>√</t>
        </is>
      </c>
      <c r="L16" s="88" t="inlineStr">
        <is>
          <t>√</t>
        </is>
      </c>
      <c r="M16" s="88" t="inlineStr">
        <is>
          <t>√</t>
        </is>
      </c>
      <c r="N16" s="84" t="inlineStr">
        <is>
          <t>LOLOS</t>
        </is>
      </c>
      <c r="O16" s="84" t="n"/>
      <c r="P16" s="89" t="n"/>
      <c r="Q16" s="303" t="n"/>
      <c r="R16" s="86" t="n"/>
      <c r="S16" s="86" t="n"/>
      <c r="T16" s="67" t="n">
        <v>-7.08283488</v>
      </c>
      <c r="U16" s="67" t="n">
        <v>107.79459227</v>
      </c>
      <c r="V16" s="92" t="n"/>
      <c r="W16" s="93" t="n"/>
      <c r="X16" s="94" t="n"/>
      <c r="Y16" s="95" t="n"/>
      <c r="AA16" s="302" t="n"/>
      <c r="AB16" s="302" t="n"/>
      <c r="AC16" s="302" t="n"/>
      <c r="AD16" s="135" t="n"/>
    </row>
    <row r="17" ht="24" customHeight="1">
      <c r="A17" s="84" t="n">
        <v>5</v>
      </c>
      <c r="B17" s="86" t="n">
        <v>5</v>
      </c>
      <c r="C17" s="99" t="inlineStr">
        <is>
          <t>ASEP AAN SAEPUDIN</t>
        </is>
      </c>
      <c r="D17" s="87" t="n"/>
      <c r="E17" s="151" t="inlineStr">
        <is>
          <t>3204350901750002</t>
        </is>
      </c>
      <c r="F17" s="151" t="inlineStr">
        <is>
          <t>3204351208160008</t>
        </is>
      </c>
      <c r="G17" s="99" t="inlineStr">
        <is>
          <t>KP LOA RT 01/01</t>
        </is>
      </c>
      <c r="H17" s="88" t="inlineStr">
        <is>
          <t>√</t>
        </is>
      </c>
      <c r="I17" s="88" t="inlineStr">
        <is>
          <t>√</t>
        </is>
      </c>
      <c r="J17" s="88" t="inlineStr">
        <is>
          <t>√</t>
        </is>
      </c>
      <c r="K17" s="88" t="inlineStr">
        <is>
          <t>√</t>
        </is>
      </c>
      <c r="L17" s="88" t="inlineStr">
        <is>
          <t>√</t>
        </is>
      </c>
      <c r="M17" s="88" t="inlineStr">
        <is>
          <t>√</t>
        </is>
      </c>
      <c r="N17" s="84" t="inlineStr">
        <is>
          <t>LOLOS</t>
        </is>
      </c>
      <c r="O17" s="84" t="n"/>
      <c r="P17" s="89" t="n"/>
      <c r="Q17" s="303" t="n"/>
      <c r="R17" s="86" t="n"/>
      <c r="S17" s="86" t="n"/>
      <c r="T17" s="67" t="n">
        <v>-7.06993095</v>
      </c>
      <c r="U17" s="67" t="n">
        <v>107.78665329</v>
      </c>
      <c r="V17" s="92" t="n"/>
      <c r="W17" s="93" t="n"/>
      <c r="X17" s="94" t="n"/>
      <c r="Y17" s="95" t="n"/>
      <c r="AA17" s="302" t="n"/>
      <c r="AB17" s="302" t="n"/>
      <c r="AC17" s="302" t="n"/>
      <c r="AD17" s="135" t="n"/>
    </row>
    <row r="18" ht="24" customHeight="1">
      <c r="A18" s="84" t="n">
        <v>6</v>
      </c>
      <c r="B18" s="86" t="n">
        <v>6</v>
      </c>
      <c r="C18" s="99" t="inlineStr">
        <is>
          <t>DANA</t>
        </is>
      </c>
      <c r="D18" s="87" t="n"/>
      <c r="E18" s="151" t="inlineStr">
        <is>
          <t>3204352610750003</t>
        </is>
      </c>
      <c r="F18" s="151" t="inlineStr">
        <is>
          <t>3204351903051537</t>
        </is>
      </c>
      <c r="G18" s="99" t="inlineStr">
        <is>
          <t>KP SUKA GEUNAH RT 01/05</t>
        </is>
      </c>
      <c r="H18" s="88" t="inlineStr">
        <is>
          <t>√</t>
        </is>
      </c>
      <c r="I18" s="88" t="inlineStr">
        <is>
          <t>√</t>
        </is>
      </c>
      <c r="J18" s="88" t="inlineStr">
        <is>
          <t>√</t>
        </is>
      </c>
      <c r="K18" s="88" t="inlineStr">
        <is>
          <t>√</t>
        </is>
      </c>
      <c r="L18" s="88" t="inlineStr">
        <is>
          <t>√</t>
        </is>
      </c>
      <c r="M18" s="88" t="inlineStr">
        <is>
          <t>√</t>
        </is>
      </c>
      <c r="N18" s="84" t="inlineStr">
        <is>
          <t>LOLOS</t>
        </is>
      </c>
      <c r="O18" s="84" t="n"/>
      <c r="P18" s="89" t="n"/>
      <c r="Q18" s="303" t="n"/>
      <c r="R18" s="86" t="n"/>
      <c r="S18" s="86" t="n"/>
      <c r="T18" s="67" t="n">
        <v>-7.07811971</v>
      </c>
      <c r="U18" s="67" t="n">
        <v>107.78832886</v>
      </c>
      <c r="V18" s="92" t="n"/>
      <c r="W18" s="93" t="n"/>
      <c r="X18" s="94" t="n"/>
      <c r="Y18" s="95" t="n"/>
      <c r="AA18" s="302" t="n"/>
      <c r="AB18" s="302" t="n"/>
      <c r="AC18" s="302" t="n"/>
      <c r="AD18" s="135" t="n"/>
    </row>
    <row r="19" ht="24" customHeight="1">
      <c r="A19" s="84" t="n">
        <v>7</v>
      </c>
      <c r="B19" s="86" t="n">
        <v>7</v>
      </c>
      <c r="C19" s="99" t="inlineStr">
        <is>
          <t>NURHAYATI</t>
        </is>
      </c>
      <c r="D19" s="87" t="n"/>
      <c r="E19" s="151" t="inlineStr">
        <is>
          <t>3204354805770008</t>
        </is>
      </c>
      <c r="F19" s="151" t="inlineStr">
        <is>
          <t>3204351903050323</t>
        </is>
      </c>
      <c r="G19" s="99" t="inlineStr">
        <is>
          <t>KP CILOPANG RT 02 RW 07</t>
        </is>
      </c>
      <c r="H19" s="88" t="inlineStr">
        <is>
          <t>√</t>
        </is>
      </c>
      <c r="I19" s="88" t="inlineStr">
        <is>
          <t>√</t>
        </is>
      </c>
      <c r="J19" s="88" t="inlineStr">
        <is>
          <t>√</t>
        </is>
      </c>
      <c r="K19" s="88" t="inlineStr">
        <is>
          <t>√</t>
        </is>
      </c>
      <c r="L19" s="88" t="inlineStr">
        <is>
          <t>√</t>
        </is>
      </c>
      <c r="M19" s="88" t="inlineStr">
        <is>
          <t>√</t>
        </is>
      </c>
      <c r="N19" s="84" t="inlineStr">
        <is>
          <t>LOLOS</t>
        </is>
      </c>
      <c r="O19" s="84" t="n"/>
      <c r="P19" s="89" t="n"/>
      <c r="Q19" s="303" t="n"/>
      <c r="R19" s="86" t="n"/>
      <c r="S19" s="86" t="n"/>
      <c r="T19" s="67" t="n">
        <v>-7.0848874</v>
      </c>
      <c r="U19" s="67" t="n">
        <v>107.79678709</v>
      </c>
      <c r="V19" s="92" t="n"/>
      <c r="W19" s="93" t="n"/>
      <c r="X19" s="94" t="n"/>
      <c r="Y19" s="95" t="n"/>
      <c r="AA19" s="302" t="n"/>
      <c r="AB19" s="302" t="n"/>
      <c r="AC19" s="302" t="n"/>
    </row>
    <row r="20" ht="24" customHeight="1">
      <c r="A20" s="84" t="n">
        <v>8</v>
      </c>
      <c r="B20" s="86" t="n">
        <v>8</v>
      </c>
      <c r="C20" s="99" t="inlineStr">
        <is>
          <t>TARLAN</t>
        </is>
      </c>
      <c r="D20" s="87" t="n"/>
      <c r="E20" s="151" t="inlineStr">
        <is>
          <t>3204351808630003</t>
        </is>
      </c>
      <c r="F20" s="151" t="inlineStr">
        <is>
          <t>3204352405110065</t>
        </is>
      </c>
      <c r="G20" s="99" t="inlineStr">
        <is>
          <t>KP CILOPANG RT 04/07</t>
        </is>
      </c>
      <c r="H20" s="88" t="inlineStr">
        <is>
          <t>√</t>
        </is>
      </c>
      <c r="I20" s="88" t="inlineStr">
        <is>
          <t>√</t>
        </is>
      </c>
      <c r="J20" s="88" t="inlineStr">
        <is>
          <t>√</t>
        </is>
      </c>
      <c r="K20" s="88" t="inlineStr">
        <is>
          <t>√</t>
        </is>
      </c>
      <c r="L20" s="88" t="inlineStr">
        <is>
          <t>√</t>
        </is>
      </c>
      <c r="M20" s="88" t="inlineStr">
        <is>
          <t>√</t>
        </is>
      </c>
      <c r="N20" s="84" t="inlineStr">
        <is>
          <t>LOLOS</t>
        </is>
      </c>
      <c r="O20" s="84" t="n"/>
      <c r="P20" s="89" t="n"/>
      <c r="Q20" s="303" t="n"/>
      <c r="R20" s="86" t="n"/>
      <c r="S20" s="86" t="n"/>
      <c r="T20" s="67" t="n">
        <v>-7.08333318</v>
      </c>
      <c r="U20" s="67" t="n">
        <v>107.79359855</v>
      </c>
      <c r="V20" s="92" t="n"/>
      <c r="W20" s="96" t="n"/>
      <c r="X20" s="94" t="n"/>
      <c r="Y20" s="97" t="n"/>
      <c r="AA20" s="302" t="n"/>
      <c r="AB20" s="302" t="n"/>
      <c r="AC20" s="302" t="n"/>
    </row>
    <row r="21" ht="24" customHeight="1">
      <c r="A21" s="84" t="n">
        <v>9</v>
      </c>
      <c r="B21" s="86" t="n">
        <v>9</v>
      </c>
      <c r="C21" s="99" t="inlineStr">
        <is>
          <t>ICAH</t>
        </is>
      </c>
      <c r="D21" s="87" t="n"/>
      <c r="E21" s="151" t="inlineStr">
        <is>
          <t>3204354107710061</t>
        </is>
      </c>
      <c r="F21" s="151" t="inlineStr">
        <is>
          <t>3204352304200006</t>
        </is>
      </c>
      <c r="G21" s="99" t="inlineStr">
        <is>
          <t>Sempak RT 003 RW 005</t>
        </is>
      </c>
      <c r="H21" s="88" t="inlineStr">
        <is>
          <t>√</t>
        </is>
      </c>
      <c r="I21" s="88" t="inlineStr">
        <is>
          <t>√</t>
        </is>
      </c>
      <c r="J21" s="88" t="inlineStr">
        <is>
          <t>√</t>
        </is>
      </c>
      <c r="K21" s="88" t="inlineStr">
        <is>
          <t>√</t>
        </is>
      </c>
      <c r="L21" s="88" t="inlineStr">
        <is>
          <t>√</t>
        </is>
      </c>
      <c r="M21" s="88" t="inlineStr">
        <is>
          <t>√</t>
        </is>
      </c>
      <c r="N21" s="84" t="inlineStr">
        <is>
          <t>LOLOS</t>
        </is>
      </c>
      <c r="O21" s="84" t="n"/>
      <c r="P21" s="89" t="n"/>
      <c r="Q21" s="303" t="n"/>
      <c r="R21" s="86" t="n"/>
      <c r="S21" s="86" t="n"/>
      <c r="T21" s="67" t="n">
        <v>-7.07946427</v>
      </c>
      <c r="U21" s="67" t="n">
        <v>107.78655359</v>
      </c>
      <c r="V21" s="92" t="n"/>
      <c r="W21" s="93" t="n"/>
      <c r="X21" s="94" t="n"/>
      <c r="Y21" s="95" t="n"/>
      <c r="AA21" s="302" t="n"/>
      <c r="AB21" s="302" t="n"/>
      <c r="AC21" s="302" t="n"/>
    </row>
    <row r="22" ht="24" customHeight="1">
      <c r="A22" s="84" t="n">
        <v>10</v>
      </c>
      <c r="B22" s="86" t="n">
        <v>10</v>
      </c>
      <c r="C22" s="99" t="inlineStr">
        <is>
          <t>ADE</t>
        </is>
      </c>
      <c r="D22" s="87" t="n"/>
      <c r="E22" s="151" t="inlineStr">
        <is>
          <t>3204351205630001</t>
        </is>
      </c>
      <c r="F22" s="151" t="inlineStr">
        <is>
          <t>3204351903050814</t>
        </is>
      </c>
      <c r="G22" s="99" t="inlineStr">
        <is>
          <t>KP MALANG RT 5 RW 6</t>
        </is>
      </c>
      <c r="H22" s="88" t="inlineStr">
        <is>
          <t>√</t>
        </is>
      </c>
      <c r="I22" s="88" t="inlineStr">
        <is>
          <t>√</t>
        </is>
      </c>
      <c r="J22" s="88" t="inlineStr">
        <is>
          <t>√</t>
        </is>
      </c>
      <c r="K22" s="88" t="inlineStr">
        <is>
          <t>√</t>
        </is>
      </c>
      <c r="L22" s="88" t="inlineStr">
        <is>
          <t>√</t>
        </is>
      </c>
      <c r="M22" s="88" t="inlineStr">
        <is>
          <t>√</t>
        </is>
      </c>
      <c r="N22" s="84" t="inlineStr">
        <is>
          <t>LOLOS</t>
        </is>
      </c>
      <c r="O22" s="84" t="n"/>
      <c r="P22" s="89" t="n"/>
      <c r="Q22" s="303" t="n"/>
      <c r="R22" s="86" t="n"/>
      <c r="S22" s="86" t="n"/>
      <c r="T22" s="67" t="n">
        <v>-7.08145216</v>
      </c>
      <c r="U22" s="67" t="n">
        <v>107.79557977</v>
      </c>
      <c r="V22" s="92" t="n"/>
      <c r="W22" s="96" t="n"/>
      <c r="X22" s="94" t="n"/>
      <c r="Y22" s="97" t="n"/>
      <c r="AA22" s="302" t="n"/>
      <c r="AB22" s="302" t="n"/>
      <c r="AC22" s="302" t="n"/>
    </row>
    <row r="23" ht="24" customHeight="1">
      <c r="A23" s="84" t="n">
        <v>11</v>
      </c>
      <c r="B23" s="86" t="n">
        <v>11</v>
      </c>
      <c r="C23" s="99" t="inlineStr">
        <is>
          <t>ANAH</t>
        </is>
      </c>
      <c r="D23" s="87" t="n"/>
      <c r="E23" s="151" t="inlineStr">
        <is>
          <t>3204354304480004</t>
        </is>
      </c>
      <c r="F23" s="151" t="inlineStr">
        <is>
          <t>3204352201200003</t>
        </is>
      </c>
      <c r="G23" s="99" t="inlineStr">
        <is>
          <t>KP NENGENG RT 2 RW 4</t>
        </is>
      </c>
      <c r="H23" s="88" t="inlineStr">
        <is>
          <t>√</t>
        </is>
      </c>
      <c r="I23" s="88" t="inlineStr">
        <is>
          <t>√</t>
        </is>
      </c>
      <c r="J23" s="88" t="inlineStr">
        <is>
          <t>√</t>
        </is>
      </c>
      <c r="K23" s="88" t="inlineStr">
        <is>
          <t>√</t>
        </is>
      </c>
      <c r="L23" s="88" t="inlineStr">
        <is>
          <t>√</t>
        </is>
      </c>
      <c r="M23" s="88" t="inlineStr">
        <is>
          <t>√</t>
        </is>
      </c>
      <c r="N23" s="84" t="inlineStr">
        <is>
          <t>LOLOS</t>
        </is>
      </c>
      <c r="O23" s="84" t="n"/>
      <c r="P23" s="89" t="n"/>
      <c r="Q23" s="303" t="n"/>
      <c r="R23" s="86" t="n"/>
      <c r="S23" s="86" t="n"/>
      <c r="T23" s="67" t="n">
        <v>-7.08973777</v>
      </c>
      <c r="U23" s="67" t="n">
        <v>107.78743568</v>
      </c>
      <c r="V23" s="92" t="n"/>
      <c r="W23" s="93" t="n"/>
      <c r="X23" s="94" t="n"/>
      <c r="Y23" s="95" t="n"/>
      <c r="AA23" s="302" t="n"/>
      <c r="AB23" s="302" t="n"/>
      <c r="AC23" s="302" t="n"/>
    </row>
    <row r="24" ht="24" customHeight="1">
      <c r="A24" s="84" t="n">
        <v>12</v>
      </c>
      <c r="B24" s="86" t="n">
        <v>12</v>
      </c>
      <c r="C24" s="99" t="inlineStr">
        <is>
          <t>WAHYU WIBISANA</t>
        </is>
      </c>
      <c r="D24" s="87" t="n"/>
      <c r="E24" s="151" t="inlineStr">
        <is>
          <t>3204353112600001</t>
        </is>
      </c>
      <c r="F24" s="151" t="inlineStr">
        <is>
          <t>3204350701060146</t>
        </is>
      </c>
      <c r="G24" s="99" t="inlineStr">
        <is>
          <t>LIMUS MANGGUNG RT 3 RW 8</t>
        </is>
      </c>
      <c r="H24" s="88" t="inlineStr">
        <is>
          <t>√</t>
        </is>
      </c>
      <c r="I24" s="88" t="inlineStr">
        <is>
          <t>√</t>
        </is>
      </c>
      <c r="J24" s="88" t="inlineStr">
        <is>
          <t>√</t>
        </is>
      </c>
      <c r="K24" s="88" t="inlineStr">
        <is>
          <t>√</t>
        </is>
      </c>
      <c r="L24" s="88" t="inlineStr">
        <is>
          <t>√</t>
        </is>
      </c>
      <c r="M24" s="88" t="inlineStr">
        <is>
          <t>√</t>
        </is>
      </c>
      <c r="N24" s="84" t="inlineStr">
        <is>
          <t>LOLOS</t>
        </is>
      </c>
      <c r="O24" s="84" t="n"/>
      <c r="P24" s="89" t="n"/>
      <c r="Q24" s="303" t="n"/>
      <c r="R24" s="86" t="n"/>
      <c r="S24" s="86" t="n"/>
      <c r="T24" s="67" t="n">
        <v>-7.09607219</v>
      </c>
      <c r="U24" s="67" t="n">
        <v>107.79013286</v>
      </c>
      <c r="V24" s="92" t="n"/>
      <c r="W24" s="93" t="n"/>
      <c r="X24" s="94" t="n"/>
      <c r="Y24" s="95" t="n"/>
      <c r="AA24" s="302" t="n"/>
      <c r="AB24" s="302" t="n"/>
      <c r="AC24" s="302" t="n"/>
    </row>
    <row r="25" ht="24" customHeight="1">
      <c r="A25" s="84" t="n">
        <v>13</v>
      </c>
      <c r="B25" s="86" t="n">
        <v>13</v>
      </c>
      <c r="C25" s="99" t="inlineStr">
        <is>
          <t>ECIN</t>
        </is>
      </c>
      <c r="D25" s="87" t="n"/>
      <c r="E25" s="151" t="inlineStr">
        <is>
          <t>3204356010480002</t>
        </is>
      </c>
      <c r="F25" s="151" t="inlineStr">
        <is>
          <t>3204352312050057</t>
        </is>
      </c>
      <c r="G25" s="99" t="inlineStr">
        <is>
          <t>KP BARUNAI RT 00/04</t>
        </is>
      </c>
      <c r="H25" s="88" t="inlineStr">
        <is>
          <t>√</t>
        </is>
      </c>
      <c r="I25" s="88" t="inlineStr">
        <is>
          <t>√</t>
        </is>
      </c>
      <c r="J25" s="88" t="inlineStr">
        <is>
          <t>√</t>
        </is>
      </c>
      <c r="K25" s="88" t="inlineStr">
        <is>
          <t>√</t>
        </is>
      </c>
      <c r="L25" s="88" t="inlineStr">
        <is>
          <t>√</t>
        </is>
      </c>
      <c r="M25" s="88" t="inlineStr">
        <is>
          <t>√</t>
        </is>
      </c>
      <c r="N25" s="84" t="inlineStr">
        <is>
          <t>LOLOS</t>
        </is>
      </c>
      <c r="O25" s="84" t="n"/>
      <c r="P25" s="89" t="n"/>
      <c r="Q25" s="303" t="n"/>
      <c r="R25" s="86" t="n"/>
      <c r="S25" s="86" t="n"/>
      <c r="T25" s="67" t="n">
        <v>-7.09196646</v>
      </c>
      <c r="U25" s="67" t="n">
        <v>107.78616176</v>
      </c>
      <c r="V25" s="92" t="n"/>
      <c r="W25" s="93" t="n"/>
      <c r="X25" s="94" t="n"/>
      <c r="Y25" s="95" t="n"/>
      <c r="AA25" s="302" t="n"/>
      <c r="AB25" s="302" t="n"/>
      <c r="AC25" s="302" t="n"/>
    </row>
    <row r="26" ht="24" customHeight="1">
      <c r="A26" s="84" t="n">
        <v>14</v>
      </c>
      <c r="B26" s="86" t="n">
        <v>14</v>
      </c>
      <c r="C26" s="100" t="inlineStr">
        <is>
          <t>EKUR</t>
        </is>
      </c>
      <c r="D26" s="87" t="n"/>
      <c r="E26" s="101" t="inlineStr">
        <is>
          <t>3204354903820003</t>
        </is>
      </c>
      <c r="F26" s="101" t="inlineStr">
        <is>
          <t>3204351210230005</t>
        </is>
      </c>
      <c r="G26" s="102" t="inlineStr">
        <is>
          <t>KP. Loa RT 003 RW 010</t>
        </is>
      </c>
      <c r="H26" s="88" t="inlineStr">
        <is>
          <t>√</t>
        </is>
      </c>
      <c r="I26" s="88" t="inlineStr">
        <is>
          <t>√</t>
        </is>
      </c>
      <c r="J26" s="88" t="inlineStr">
        <is>
          <t>√</t>
        </is>
      </c>
      <c r="K26" s="88" t="inlineStr">
        <is>
          <t>√</t>
        </is>
      </c>
      <c r="L26" s="88" t="inlineStr">
        <is>
          <t>√</t>
        </is>
      </c>
      <c r="M26" s="88" t="inlineStr">
        <is>
          <t>√</t>
        </is>
      </c>
      <c r="N26" s="84" t="inlineStr">
        <is>
          <t>LOLOS</t>
        </is>
      </c>
      <c r="O26" s="84" t="n"/>
      <c r="P26" s="89" t="n"/>
      <c r="Q26" s="303" t="n"/>
      <c r="R26" s="86" t="n"/>
      <c r="S26" s="86" t="n"/>
      <c r="T26" s="67" t="n">
        <v>-7.07493235</v>
      </c>
      <c r="U26" s="67" t="n">
        <v>107.78669428</v>
      </c>
      <c r="V26" s="92" t="n"/>
      <c r="W26" s="93" t="n"/>
      <c r="X26" s="94" t="n"/>
      <c r="Y26" s="95" t="n"/>
      <c r="AA26" s="302" t="n"/>
      <c r="AB26" s="302" t="n"/>
      <c r="AC26" s="302" t="n"/>
    </row>
    <row r="27" ht="24" customHeight="1">
      <c r="A27" s="84" t="n">
        <v>15</v>
      </c>
      <c r="B27" s="86" t="n">
        <v>15</v>
      </c>
      <c r="C27" s="92" t="inlineStr">
        <is>
          <t>CARMA DEDI</t>
        </is>
      </c>
      <c r="D27" s="87" t="n"/>
      <c r="E27" s="103" t="inlineStr">
        <is>
          <t>3204351207600004</t>
        </is>
      </c>
      <c r="F27" s="103" t="inlineStr">
        <is>
          <t>3204350101060016</t>
        </is>
      </c>
      <c r="G27" s="92" t="inlineStr">
        <is>
          <t>KP. CIDADAP RT 004 RW 005</t>
        </is>
      </c>
      <c r="H27" s="88" t="inlineStr">
        <is>
          <t>√</t>
        </is>
      </c>
      <c r="I27" s="88" t="inlineStr">
        <is>
          <t>√</t>
        </is>
      </c>
      <c r="J27" s="88" t="inlineStr">
        <is>
          <t>√</t>
        </is>
      </c>
      <c r="K27" s="88" t="inlineStr">
        <is>
          <t>√</t>
        </is>
      </c>
      <c r="L27" s="88" t="inlineStr">
        <is>
          <t>√</t>
        </is>
      </c>
      <c r="M27" s="88" t="inlineStr">
        <is>
          <t>√</t>
        </is>
      </c>
      <c r="N27" s="84" t="inlineStr">
        <is>
          <t>LOLOS</t>
        </is>
      </c>
      <c r="O27" s="84" t="n"/>
      <c r="P27" s="89" t="n"/>
      <c r="Q27" s="303" t="n"/>
      <c r="R27" s="86" t="n"/>
      <c r="S27" s="86" t="n"/>
      <c r="T27" s="67" t="n">
        <v>-7.08219048</v>
      </c>
      <c r="U27" s="67" t="n">
        <v>107.78767877</v>
      </c>
      <c r="V27" s="92" t="n"/>
      <c r="W27" s="93" t="n"/>
      <c r="X27" s="94" t="n"/>
      <c r="Y27" s="95" t="n"/>
      <c r="AA27" s="302" t="n"/>
      <c r="AB27" s="302" t="n"/>
      <c r="AC27" s="302" t="n"/>
    </row>
    <row r="28" ht="24" customHeight="1">
      <c r="A28" s="84" t="n">
        <v>16</v>
      </c>
      <c r="B28" s="86" t="n">
        <v>16</v>
      </c>
      <c r="C28" s="92" t="inlineStr">
        <is>
          <t>UJANG JUJUN</t>
        </is>
      </c>
      <c r="D28" s="87" t="n"/>
      <c r="E28" s="101" t="inlineStr">
        <is>
          <t>3204350204580001</t>
        </is>
      </c>
      <c r="F28" s="101" t="inlineStr">
        <is>
          <t>3204351803050591</t>
        </is>
      </c>
      <c r="G28" s="92" t="inlineStr">
        <is>
          <t>KP. Loa RT 003 RW 002</t>
        </is>
      </c>
      <c r="H28" s="88" t="inlineStr">
        <is>
          <t>√</t>
        </is>
      </c>
      <c r="I28" s="88" t="inlineStr">
        <is>
          <t>√</t>
        </is>
      </c>
      <c r="J28" s="88" t="inlineStr">
        <is>
          <t>√</t>
        </is>
      </c>
      <c r="K28" s="88" t="inlineStr">
        <is>
          <t>√</t>
        </is>
      </c>
      <c r="L28" s="88" t="inlineStr">
        <is>
          <t>√</t>
        </is>
      </c>
      <c r="M28" s="88" t="inlineStr">
        <is>
          <t>√</t>
        </is>
      </c>
      <c r="N28" s="84" t="inlineStr">
        <is>
          <t>LOLOS</t>
        </is>
      </c>
      <c r="O28" s="84" t="n"/>
      <c r="P28" s="89" t="n"/>
      <c r="Q28" s="303" t="n"/>
      <c r="R28" s="86" t="n"/>
      <c r="S28" s="86" t="n"/>
      <c r="T28" s="67" t="n">
        <v>-7.07355993</v>
      </c>
      <c r="U28" s="67" t="n">
        <v>107.78683808</v>
      </c>
      <c r="V28" s="92" t="n"/>
      <c r="W28" s="93" t="n"/>
      <c r="X28" s="94" t="n"/>
      <c r="Y28" s="95" t="n"/>
      <c r="AA28" s="302" t="n"/>
      <c r="AB28" s="302" t="n"/>
      <c r="AC28" s="302" t="n"/>
    </row>
    <row r="29" ht="24" customHeight="1">
      <c r="A29" s="84" t="n">
        <v>17</v>
      </c>
      <c r="B29" s="86" t="n">
        <v>17</v>
      </c>
      <c r="C29" s="92" t="inlineStr">
        <is>
          <t>UJANG PARMAN</t>
        </is>
      </c>
      <c r="D29" s="87" t="n"/>
      <c r="E29" s="101" t="inlineStr">
        <is>
          <t>3204351205570001</t>
        </is>
      </c>
      <c r="F29" s="101" t="inlineStr">
        <is>
          <t>3204351803051054</t>
        </is>
      </c>
      <c r="G29" s="92" t="inlineStr">
        <is>
          <t>KP. Lengo RT 004 RW 001</t>
        </is>
      </c>
      <c r="H29" s="88" t="inlineStr">
        <is>
          <t>√</t>
        </is>
      </c>
      <c r="I29" s="88" t="inlineStr">
        <is>
          <t>√</t>
        </is>
      </c>
      <c r="J29" s="88" t="inlineStr">
        <is>
          <t>√</t>
        </is>
      </c>
      <c r="K29" s="88" t="inlineStr">
        <is>
          <t>√</t>
        </is>
      </c>
      <c r="L29" s="88" t="inlineStr">
        <is>
          <t>√</t>
        </is>
      </c>
      <c r="M29" s="88" t="inlineStr">
        <is>
          <t>√</t>
        </is>
      </c>
      <c r="N29" s="84" t="inlineStr">
        <is>
          <t>LOLOS</t>
        </is>
      </c>
      <c r="O29" s="84" t="n"/>
      <c r="P29" s="89" t="n"/>
      <c r="Q29" s="303" t="n"/>
      <c r="R29" s="86" t="n"/>
      <c r="S29" s="86" t="n"/>
      <c r="T29" s="67" t="n">
        <v>-7.0675</v>
      </c>
      <c r="U29" s="67" t="n">
        <v>107.7815</v>
      </c>
      <c r="V29" s="92" t="n"/>
      <c r="W29" s="93" t="n"/>
      <c r="X29" s="94" t="n"/>
      <c r="Y29" s="95" t="n"/>
      <c r="AA29" s="302" t="n"/>
      <c r="AB29" s="302" t="n"/>
      <c r="AC29" s="302" t="n"/>
    </row>
    <row r="30" ht="24" customHeight="1">
      <c r="A30" s="84" t="n">
        <v>18</v>
      </c>
      <c r="B30" s="86" t="n">
        <v>18</v>
      </c>
      <c r="C30" s="92" t="inlineStr">
        <is>
          <t>ENDANG SARGA</t>
        </is>
      </c>
      <c r="D30" s="87" t="n"/>
      <c r="E30" s="101" t="inlineStr">
        <is>
          <t>3204350911550003</t>
        </is>
      </c>
      <c r="F30" s="101" t="inlineStr">
        <is>
          <t>3204352903110009</t>
        </is>
      </c>
      <c r="G30" s="92" t="inlineStr">
        <is>
          <t>KP.TIISDINGIN RT 2 RW 6</t>
        </is>
      </c>
      <c r="H30" s="88" t="inlineStr">
        <is>
          <t>√</t>
        </is>
      </c>
      <c r="I30" s="88" t="inlineStr">
        <is>
          <t>√</t>
        </is>
      </c>
      <c r="J30" s="88" t="inlineStr">
        <is>
          <t>√</t>
        </is>
      </c>
      <c r="K30" s="88" t="inlineStr">
        <is>
          <t>√</t>
        </is>
      </c>
      <c r="L30" s="88" t="inlineStr">
        <is>
          <t>√</t>
        </is>
      </c>
      <c r="M30" s="88" t="inlineStr">
        <is>
          <t>√</t>
        </is>
      </c>
      <c r="N30" s="84" t="inlineStr">
        <is>
          <t>LOLOS</t>
        </is>
      </c>
      <c r="O30" s="84" t="n"/>
      <c r="P30" s="89" t="n"/>
      <c r="Q30" s="303" t="n"/>
      <c r="R30" s="86" t="n"/>
      <c r="S30" s="86" t="n"/>
      <c r="T30" s="67" t="n">
        <v>-7.07856038</v>
      </c>
      <c r="U30" s="67" t="n">
        <v>107.79085138</v>
      </c>
      <c r="V30" s="92" t="n"/>
      <c r="W30" s="93" t="n"/>
      <c r="X30" s="94" t="n"/>
      <c r="Y30" s="95" t="n"/>
      <c r="AA30" s="302" t="n"/>
      <c r="AB30" s="302" t="n"/>
      <c r="AC30" s="302" t="n"/>
    </row>
    <row r="31" ht="24" customHeight="1">
      <c r="A31" s="84" t="n">
        <v>19</v>
      </c>
      <c r="B31" s="86" t="n">
        <v>19</v>
      </c>
      <c r="C31" s="92" t="inlineStr">
        <is>
          <t>ADANG</t>
        </is>
      </c>
      <c r="D31" s="87" t="n"/>
      <c r="E31" s="101" t="inlineStr">
        <is>
          <t>3204352905890001</t>
        </is>
      </c>
      <c r="F31" s="101" t="inlineStr">
        <is>
          <t>3204351612210006</t>
        </is>
      </c>
      <c r="G31" s="92" t="inlineStr">
        <is>
          <t>KP. CIDADAP RT 5 RW 5</t>
        </is>
      </c>
      <c r="H31" s="88" t="inlineStr">
        <is>
          <t>√</t>
        </is>
      </c>
      <c r="I31" s="88" t="inlineStr">
        <is>
          <t>√</t>
        </is>
      </c>
      <c r="J31" s="88" t="inlineStr">
        <is>
          <t>√</t>
        </is>
      </c>
      <c r="K31" s="88" t="inlineStr">
        <is>
          <t>√</t>
        </is>
      </c>
      <c r="L31" s="88" t="inlineStr">
        <is>
          <t>√</t>
        </is>
      </c>
      <c r="M31" s="88" t="inlineStr">
        <is>
          <t>√</t>
        </is>
      </c>
      <c r="N31" s="84" t="inlineStr">
        <is>
          <t>LOLOS</t>
        </is>
      </c>
      <c r="O31" s="84" t="n"/>
      <c r="P31" s="89" t="n"/>
      <c r="Q31" s="303" t="n"/>
      <c r="R31" s="86" t="n"/>
      <c r="S31" s="86" t="n"/>
      <c r="T31" s="67" t="n">
        <v>-7.07272036</v>
      </c>
      <c r="U31" s="67" t="n">
        <v>107.78008687</v>
      </c>
      <c r="V31" s="92" t="n"/>
      <c r="W31" s="93" t="n"/>
      <c r="X31" s="94" t="n"/>
      <c r="Y31" s="95" t="n"/>
      <c r="AA31" s="302" t="n"/>
      <c r="AB31" s="302" t="n"/>
      <c r="AC31" s="302" t="n"/>
    </row>
    <row r="32" ht="24" customHeight="1">
      <c r="A32" s="84" t="n">
        <v>20</v>
      </c>
      <c r="B32" s="86" t="n">
        <v>20</v>
      </c>
      <c r="C32" s="92" t="inlineStr">
        <is>
          <t>DENI HERMANTO</t>
        </is>
      </c>
      <c r="D32" s="87" t="n"/>
      <c r="E32" s="101" t="n"/>
      <c r="F32" s="101" t="n"/>
      <c r="G32" s="92" t="inlineStr">
        <is>
          <t>KP. Loa</t>
        </is>
      </c>
      <c r="H32" s="88" t="inlineStr">
        <is>
          <t>√</t>
        </is>
      </c>
      <c r="I32" s="88" t="inlineStr">
        <is>
          <t>√</t>
        </is>
      </c>
      <c r="J32" s="88" t="inlineStr">
        <is>
          <t>√</t>
        </is>
      </c>
      <c r="K32" s="88" t="inlineStr">
        <is>
          <t>√</t>
        </is>
      </c>
      <c r="L32" s="88" t="inlineStr">
        <is>
          <t>√</t>
        </is>
      </c>
      <c r="M32" s="88" t="inlineStr">
        <is>
          <t>√</t>
        </is>
      </c>
      <c r="N32" s="84" t="inlineStr">
        <is>
          <t>LOLOS</t>
        </is>
      </c>
      <c r="O32" s="84" t="n"/>
      <c r="P32" s="89" t="n"/>
      <c r="Q32" s="303" t="n"/>
      <c r="R32" s="86" t="n"/>
      <c r="S32" s="86" t="n"/>
      <c r="T32" s="67" t="n">
        <v>-7.06779708</v>
      </c>
      <c r="U32" s="67" t="n">
        <v>107.78490439</v>
      </c>
      <c r="V32" s="92" t="n"/>
      <c r="W32" s="93" t="n"/>
      <c r="X32" s="94" t="n"/>
      <c r="Y32" s="95" t="n"/>
      <c r="AA32" s="302" t="n"/>
      <c r="AB32" s="302" t="n"/>
      <c r="AC32" s="302" t="n"/>
    </row>
    <row r="33" ht="24" customHeight="1">
      <c r="A33" s="84" t="n">
        <v>21</v>
      </c>
      <c r="B33" s="86" t="n">
        <v>21</v>
      </c>
      <c r="C33" s="102" t="inlineStr">
        <is>
          <t>ENDANG</t>
        </is>
      </c>
      <c r="D33" s="87" t="n"/>
      <c r="E33" s="101" t="inlineStr">
        <is>
          <t>3204352504720003</t>
        </is>
      </c>
      <c r="F33" s="151" t="inlineStr">
        <is>
          <t>3204352508050102</t>
        </is>
      </c>
      <c r="G33" s="99" t="inlineStr">
        <is>
          <t>KP LOA RT 3 RW 10</t>
        </is>
      </c>
      <c r="H33" s="88" t="inlineStr">
        <is>
          <t>x</t>
        </is>
      </c>
      <c r="I33" s="88" t="inlineStr">
        <is>
          <t>x</t>
        </is>
      </c>
      <c r="J33" s="88" t="inlineStr">
        <is>
          <t>x</t>
        </is>
      </c>
      <c r="K33" s="88" t="inlineStr">
        <is>
          <t>x</t>
        </is>
      </c>
      <c r="L33" s="88" t="inlineStr">
        <is>
          <t>x</t>
        </is>
      </c>
      <c r="M33" s="88" t="inlineStr">
        <is>
          <t>x</t>
        </is>
      </c>
      <c r="N33" s="84" t="n"/>
      <c r="O33" s="84" t="inlineStr">
        <is>
          <t>TIDAK LOLOS</t>
        </is>
      </c>
      <c r="P33" s="89" t="inlineStr">
        <is>
          <t>3.  Rumah dalam kondisi layak/rusak ringan;</t>
        </is>
      </c>
      <c r="Q33" s="303" t="n"/>
      <c r="R33" s="86" t="n"/>
      <c r="S33" s="86" t="n"/>
      <c r="T33" s="98" t="n">
        <v>-7.07448163</v>
      </c>
      <c r="U33" s="98" t="n">
        <v>107.78844668</v>
      </c>
      <c r="V33" s="92" t="inlineStr">
        <is>
          <t>Layak Huni - Dibangun Pribadi</t>
        </is>
      </c>
      <c r="W33" s="93" t="n"/>
      <c r="X33" s="94" t="n"/>
      <c r="Y33" s="95" t="n"/>
      <c r="AA33" s="302" t="n"/>
      <c r="AB33" s="302" t="n"/>
      <c r="AC33" s="302" t="n"/>
    </row>
    <row r="34" ht="24" customHeight="1">
      <c r="A34" s="84" t="n">
        <v>22</v>
      </c>
      <c r="B34" s="86" t="n">
        <v>22</v>
      </c>
      <c r="C34" s="102" t="inlineStr">
        <is>
          <t>LALAN</t>
        </is>
      </c>
      <c r="D34" s="87" t="n"/>
      <c r="E34" s="101" t="inlineStr">
        <is>
          <t>3204364406880002</t>
        </is>
      </c>
      <c r="F34" s="101" t="inlineStr">
        <is>
          <t>3204361108120039</t>
        </is>
      </c>
      <c r="G34" s="102" t="inlineStr">
        <is>
          <t>KP CANAR RT 1 RW 12</t>
        </is>
      </c>
      <c r="H34" s="88" t="inlineStr">
        <is>
          <t>x</t>
        </is>
      </c>
      <c r="I34" s="88" t="inlineStr">
        <is>
          <t>x</t>
        </is>
      </c>
      <c r="J34" s="88" t="inlineStr">
        <is>
          <t>x</t>
        </is>
      </c>
      <c r="K34" s="88" t="inlineStr">
        <is>
          <t>x</t>
        </is>
      </c>
      <c r="L34" s="88" t="inlineStr">
        <is>
          <t>x</t>
        </is>
      </c>
      <c r="M34" s="88" t="inlineStr">
        <is>
          <t>x</t>
        </is>
      </c>
      <c r="N34" s="84" t="n"/>
      <c r="O34" s="84" t="inlineStr">
        <is>
          <t>TIDAK LOLOS</t>
        </is>
      </c>
      <c r="P34" s="89" t="inlineStr">
        <is>
          <t>3.  Rumah dalam kondisi layak/rusak ringan;</t>
        </is>
      </c>
      <c r="Q34" s="303" t="n"/>
      <c r="R34" s="86" t="n"/>
      <c r="S34" s="86" t="n"/>
      <c r="T34" s="67" t="n">
        <v>-7.08472292</v>
      </c>
      <c r="U34" s="67" t="n">
        <v>107.79085082</v>
      </c>
      <c r="V34" s="92" t="inlineStr">
        <is>
          <t>Layak Huni - Dibangun Pribadi</t>
        </is>
      </c>
      <c r="W34" s="93" t="n"/>
      <c r="X34" s="94" t="n"/>
      <c r="Y34" s="95" t="n"/>
      <c r="AA34" s="302" t="n"/>
      <c r="AB34" s="302" t="n"/>
      <c r="AC34" s="302" t="n"/>
    </row>
    <row r="35" ht="24" customHeight="1">
      <c r="A35" s="84" t="n">
        <v>23</v>
      </c>
      <c r="B35" s="86" t="n">
        <v>23</v>
      </c>
      <c r="C35" s="102" t="inlineStr">
        <is>
          <t>U.ODIN</t>
        </is>
      </c>
      <c r="D35" s="87" t="n"/>
      <c r="E35" s="101" t="inlineStr">
        <is>
          <t>3204351108770005</t>
        </is>
      </c>
      <c r="F35" s="101" t="inlineStr">
        <is>
          <t>3204351009120001</t>
        </is>
      </c>
      <c r="G35" s="102" t="inlineStr">
        <is>
          <t>KP MEKAR SARI RT 3 RW 9</t>
        </is>
      </c>
      <c r="H35" s="88" t="inlineStr">
        <is>
          <t>x</t>
        </is>
      </c>
      <c r="I35" s="88" t="inlineStr">
        <is>
          <t>x</t>
        </is>
      </c>
      <c r="J35" s="88" t="inlineStr">
        <is>
          <t>x</t>
        </is>
      </c>
      <c r="K35" s="88" t="inlineStr">
        <is>
          <t>x</t>
        </is>
      </c>
      <c r="L35" s="88" t="inlineStr">
        <is>
          <t>x</t>
        </is>
      </c>
      <c r="M35" s="88" t="inlineStr">
        <is>
          <t>x</t>
        </is>
      </c>
      <c r="N35" s="84" t="n"/>
      <c r="O35" s="84" t="inlineStr">
        <is>
          <t>TIDAK LOLOS</t>
        </is>
      </c>
      <c r="P35" s="89" t="inlineStr">
        <is>
          <t>3.  Rumah dalam kondisi layak/rusak ringan;</t>
        </is>
      </c>
      <c r="Q35" s="303" t="n"/>
      <c r="R35" s="86" t="n"/>
      <c r="S35" s="86" t="n"/>
      <c r="T35" s="98" t="n">
        <v>-7.07406425</v>
      </c>
      <c r="U35" s="98" t="n">
        <v>107.79138696</v>
      </c>
      <c r="V35" s="92" t="inlineStr">
        <is>
          <t>Layak Huni - Dibangun Pribadi</t>
        </is>
      </c>
      <c r="W35" s="96" t="n"/>
      <c r="X35" s="94" t="n"/>
      <c r="Y35" s="97" t="n"/>
      <c r="AA35" s="302" t="n"/>
      <c r="AB35" s="302" t="n"/>
      <c r="AC35" s="302" t="n"/>
    </row>
    <row r="36" ht="24" customHeight="1">
      <c r="A36" s="84" t="n">
        <v>24</v>
      </c>
      <c r="B36" s="86" t="n">
        <v>24</v>
      </c>
      <c r="C36" s="102" t="inlineStr">
        <is>
          <t>TOTO TARMALA</t>
        </is>
      </c>
      <c r="D36" s="87" t="n"/>
      <c r="E36" s="101" t="inlineStr">
        <is>
          <t>3204350101920001</t>
        </is>
      </c>
      <c r="F36" s="101" t="inlineStr">
        <is>
          <t>3204351803050561</t>
        </is>
      </c>
      <c r="G36" s="102" t="inlineStr">
        <is>
          <t>KP LOA RT 4 RW 2</t>
        </is>
      </c>
      <c r="H36" s="88" t="inlineStr">
        <is>
          <t>x</t>
        </is>
      </c>
      <c r="I36" s="88" t="inlineStr">
        <is>
          <t>x</t>
        </is>
      </c>
      <c r="J36" s="88" t="inlineStr">
        <is>
          <t>x</t>
        </is>
      </c>
      <c r="K36" s="88" t="inlineStr">
        <is>
          <t>x</t>
        </is>
      </c>
      <c r="L36" s="88" t="inlineStr">
        <is>
          <t>x</t>
        </is>
      </c>
      <c r="M36" s="88" t="inlineStr">
        <is>
          <t>x</t>
        </is>
      </c>
      <c r="N36" s="84" t="n"/>
      <c r="O36" s="84" t="inlineStr">
        <is>
          <t>TIDAK LOLOS</t>
        </is>
      </c>
      <c r="P36" s="89" t="inlineStr">
        <is>
          <t>3.  Rumah dalam kondisi layak/rusak ringan;</t>
        </is>
      </c>
      <c r="Q36" s="303" t="n"/>
      <c r="R36" s="86" t="n"/>
      <c r="S36" s="86" t="n"/>
      <c r="T36" s="67" t="n">
        <v>-7.0740836</v>
      </c>
      <c r="U36" s="67" t="n">
        <v>107.788137422</v>
      </c>
      <c r="V36" s="92" t="inlineStr">
        <is>
          <t>Layak Huni - Dibangun Pribadi</t>
        </is>
      </c>
      <c r="W36" s="93" t="n"/>
      <c r="X36" s="94" t="n"/>
      <c r="Y36" s="97" t="n"/>
      <c r="AA36" s="302" t="n"/>
      <c r="AB36" s="302" t="n"/>
      <c r="AC36" s="302" t="n"/>
    </row>
    <row r="37" ht="24" customHeight="1">
      <c r="A37" s="84" t="n">
        <v>25</v>
      </c>
      <c r="B37" s="86" t="n">
        <v>25</v>
      </c>
      <c r="C37" s="102" t="inlineStr">
        <is>
          <t>UJANG TIMAN</t>
        </is>
      </c>
      <c r="D37" s="87" t="n"/>
      <c r="E37" s="101" t="inlineStr">
        <is>
          <t>3204351508760018</t>
        </is>
      </c>
      <c r="F37" s="101" t="inlineStr">
        <is>
          <t>3204351211130013</t>
        </is>
      </c>
      <c r="G37" s="92" t="inlineStr">
        <is>
          <t>KP LOA RT 4 RW 2</t>
        </is>
      </c>
      <c r="H37" s="88" t="inlineStr">
        <is>
          <t>x</t>
        </is>
      </c>
      <c r="I37" s="88" t="inlineStr">
        <is>
          <t>x</t>
        </is>
      </c>
      <c r="J37" s="88" t="inlineStr">
        <is>
          <t>x</t>
        </is>
      </c>
      <c r="K37" s="88" t="inlineStr">
        <is>
          <t>x</t>
        </is>
      </c>
      <c r="L37" s="88" t="inlineStr">
        <is>
          <t>x</t>
        </is>
      </c>
      <c r="M37" s="88" t="inlineStr">
        <is>
          <t>x</t>
        </is>
      </c>
      <c r="N37" s="84" t="n"/>
      <c r="O37" s="84" t="inlineStr">
        <is>
          <t>TIDAK LOLOS</t>
        </is>
      </c>
      <c r="P37" s="89" t="inlineStr">
        <is>
          <t>3.  Rumah dalam kondisi layak/rusak ringan;</t>
        </is>
      </c>
      <c r="Q37" s="303" t="n"/>
      <c r="R37" s="86" t="n"/>
      <c r="S37" s="86" t="n"/>
      <c r="T37" s="67" t="n">
        <v>-7.07393784</v>
      </c>
      <c r="U37" s="67" t="n">
        <v>107.78834522</v>
      </c>
      <c r="V37" s="92" t="inlineStr">
        <is>
          <t>Layak Huni - Dibangun Pribadi</t>
        </is>
      </c>
      <c r="W37" s="93" t="n"/>
      <c r="X37" s="94" t="n"/>
      <c r="Y37" s="95" t="n"/>
      <c r="AA37" s="302" t="n"/>
      <c r="AB37" s="302" t="n"/>
      <c r="AC37" s="302" t="n"/>
    </row>
    <row r="38" ht="24" customHeight="1">
      <c r="A38" s="84" t="n">
        <v>26</v>
      </c>
      <c r="B38" s="86" t="n">
        <v>26</v>
      </c>
      <c r="C38" s="102" t="inlineStr">
        <is>
          <t>EMEH</t>
        </is>
      </c>
      <c r="D38" s="87" t="n"/>
      <c r="E38" s="101" t="inlineStr">
        <is>
          <t>3204354107590197</t>
        </is>
      </c>
      <c r="F38" s="101" t="inlineStr">
        <is>
          <t>3204352210070031</t>
        </is>
      </c>
      <c r="G38" s="102" t="inlineStr">
        <is>
          <t>MALINGPING RT 4 RW 8</t>
        </is>
      </c>
      <c r="H38" s="88" t="inlineStr">
        <is>
          <t>x</t>
        </is>
      </c>
      <c r="I38" s="88" t="inlineStr">
        <is>
          <t>x</t>
        </is>
      </c>
      <c r="J38" s="88" t="inlineStr">
        <is>
          <t>x</t>
        </is>
      </c>
      <c r="K38" s="88" t="inlineStr">
        <is>
          <t>x</t>
        </is>
      </c>
      <c r="L38" s="88" t="inlineStr">
        <is>
          <t>x</t>
        </is>
      </c>
      <c r="M38" s="88" t="inlineStr">
        <is>
          <t>x</t>
        </is>
      </c>
      <c r="N38" s="84" t="n"/>
      <c r="O38" s="84" t="inlineStr">
        <is>
          <t>TIDAK LOLOS</t>
        </is>
      </c>
      <c r="P38" s="89" t="inlineStr">
        <is>
          <t>3.  Rumah dalam kondisi layak/rusak ringan;</t>
        </is>
      </c>
      <c r="Q38" s="303" t="n"/>
      <c r="R38" s="86" t="n"/>
      <c r="S38" s="86" t="n"/>
      <c r="T38" s="67" t="n">
        <v>-7.096682</v>
      </c>
      <c r="U38" s="67" t="n">
        <v>107.789848</v>
      </c>
      <c r="V38" s="92" t="inlineStr">
        <is>
          <t>Layak Huni - Dibangun Pribadi</t>
        </is>
      </c>
      <c r="W38" s="93" t="n"/>
      <c r="X38" s="94" t="n"/>
      <c r="Y38" s="95" t="n"/>
      <c r="AA38" s="302" t="n"/>
      <c r="AB38" s="302" t="n"/>
      <c r="AC38" s="302" t="n"/>
    </row>
    <row r="39" ht="24" customHeight="1">
      <c r="A39" s="84" t="n">
        <v>27</v>
      </c>
      <c r="B39" s="86" t="n">
        <v>27</v>
      </c>
      <c r="C39" s="102" t="inlineStr">
        <is>
          <t>TATAN RUSTANDI</t>
        </is>
      </c>
      <c r="D39" s="87" t="n"/>
      <c r="E39" s="101" t="inlineStr">
        <is>
          <t>3203151003900004</t>
        </is>
      </c>
      <c r="F39" s="101" t="inlineStr">
        <is>
          <t>3204350304200001</t>
        </is>
      </c>
      <c r="G39" s="102" t="inlineStr">
        <is>
          <t>KP LOA RT 4 RW 2</t>
        </is>
      </c>
      <c r="H39" s="88" t="inlineStr">
        <is>
          <t>x</t>
        </is>
      </c>
      <c r="I39" s="88" t="inlineStr">
        <is>
          <t>x</t>
        </is>
      </c>
      <c r="J39" s="88" t="inlineStr">
        <is>
          <t>x</t>
        </is>
      </c>
      <c r="K39" s="88" t="inlineStr">
        <is>
          <t>x</t>
        </is>
      </c>
      <c r="L39" s="88" t="inlineStr">
        <is>
          <t>x</t>
        </is>
      </c>
      <c r="M39" s="88" t="inlineStr">
        <is>
          <t>x</t>
        </is>
      </c>
      <c r="N39" s="84" t="n"/>
      <c r="O39" s="84" t="inlineStr">
        <is>
          <t>TIDAK LOLOS</t>
        </is>
      </c>
      <c r="P39" s="89" t="inlineStr">
        <is>
          <t>3.  Rumah dalam kondisi layak/rusak ringan;</t>
        </is>
      </c>
      <c r="Q39" s="303" t="n"/>
      <c r="R39" s="86" t="n"/>
      <c r="S39" s="86" t="n"/>
      <c r="T39" s="67" t="n">
        <v>-7.07424439</v>
      </c>
      <c r="U39" s="67" t="n">
        <v>107.78845114</v>
      </c>
      <c r="V39" s="92" t="inlineStr">
        <is>
          <t>Layak Huni - Dibangun Pribadi</t>
        </is>
      </c>
      <c r="W39" s="93" t="n"/>
      <c r="X39" s="94" t="n"/>
      <c r="Y39" s="95" t="n"/>
      <c r="AA39" s="302" t="n"/>
      <c r="AB39" s="302" t="n"/>
      <c r="AC39" s="302" t="n"/>
    </row>
    <row r="40" ht="9.75" customFormat="1" customHeight="1" s="70">
      <c r="A40" s="245" t="n">
        <v>28</v>
      </c>
      <c r="B40" s="245" t="n">
        <v>28</v>
      </c>
      <c r="C40" s="137" t="inlineStr">
        <is>
          <t>HADI</t>
        </is>
      </c>
      <c r="D40" s="245" t="n"/>
      <c r="E40" s="245" t="inlineStr">
        <is>
          <t>3204352502820008</t>
        </is>
      </c>
      <c r="F40" s="245" t="inlineStr">
        <is>
          <t>3204351004070008</t>
        </is>
      </c>
      <c r="G40" s="125" t="inlineStr">
        <is>
          <t>CIDADAP RT 5 RW 5</t>
        </is>
      </c>
      <c r="H40" s="245" t="inlineStr">
        <is>
          <t>x</t>
        </is>
      </c>
      <c r="I40" s="245" t="inlineStr">
        <is>
          <t>x</t>
        </is>
      </c>
      <c r="J40" s="245" t="inlineStr">
        <is>
          <t>x</t>
        </is>
      </c>
      <c r="K40" s="304" t="inlineStr">
        <is>
          <t>x</t>
        </is>
      </c>
      <c r="L40" s="304" t="inlineStr">
        <is>
          <t>x</t>
        </is>
      </c>
      <c r="M40" s="304" t="inlineStr">
        <is>
          <t>x</t>
        </is>
      </c>
      <c r="N40" s="304" t="n"/>
      <c r="O40" s="304" t="inlineStr">
        <is>
          <t>TIDAK LOLOS</t>
        </is>
      </c>
      <c r="P40" s="304" t="inlineStr">
        <is>
          <t>3.  Rumah dalam kondisi layak/rusak ringan;</t>
        </is>
      </c>
      <c r="Q40" s="304" t="n"/>
      <c r="R40" s="304" t="n"/>
      <c r="S40" s="304" t="n"/>
      <c r="T40" s="305" t="n">
        <v>-7.08478348</v>
      </c>
      <c r="U40" s="305" t="n">
        <v>107.79096854</v>
      </c>
      <c r="V40" s="304" t="inlineStr">
        <is>
          <t>Layak Huni - Dibantu Desa</t>
        </is>
      </c>
      <c r="W40" s="306" t="n"/>
      <c r="X40" s="306" t="n"/>
      <c r="Y40" s="306" t="n"/>
    </row>
    <row r="41" ht="11.25" customFormat="1" customHeight="1" s="70">
      <c r="A41" t="n">
        <v>29</v>
      </c>
      <c r="B41" t="n">
        <v>29</v>
      </c>
      <c r="C41" t="inlineStr">
        <is>
          <t>ILPAN SETIA MULYA</t>
        </is>
      </c>
      <c r="E41" t="inlineStr">
        <is>
          <t>3204332811900005</t>
        </is>
      </c>
      <c r="F41" t="inlineStr">
        <is>
          <t>3204352506130041</t>
        </is>
      </c>
      <c r="G41" t="inlineStr">
        <is>
          <t>KP. TIISDINGIN RT 1 RW 6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O41" t="inlineStr">
        <is>
          <t>TIDAK LOLOS</t>
        </is>
      </c>
      <c r="P41" t="inlineStr">
        <is>
          <t>3.  Rumah dalam kondisi layak/rusak ringan;</t>
        </is>
      </c>
      <c r="T41" t="n">
        <v>-7.077608</v>
      </c>
      <c r="U41" t="n">
        <v>107.791801</v>
      </c>
      <c r="V41" t="inlineStr">
        <is>
          <t>Layak Huni - Dibangun Pribadi</t>
        </is>
      </c>
    </row>
    <row r="42" ht="12" customFormat="1" customHeight="1" s="70">
      <c r="A42" t="n">
        <v>30</v>
      </c>
      <c r="B42" t="n">
        <v>30</v>
      </c>
      <c r="C42" t="inlineStr">
        <is>
          <t>SAEPULOH</t>
        </is>
      </c>
      <c r="E42" t="inlineStr">
        <is>
          <t>3204351406940003</t>
        </is>
      </c>
      <c r="F42" t="inlineStr">
        <is>
          <t>3204352909220007</t>
        </is>
      </c>
      <c r="G42" t="inlineStr">
        <is>
          <t>KP. LOA RT 3 RW 10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O42" t="inlineStr">
        <is>
          <t>TIDAK LOLOS</t>
        </is>
      </c>
      <c r="P42" t="inlineStr">
        <is>
          <t>3.  Rumah dalam kondisi layak/rusak ringan;</t>
        </is>
      </c>
      <c r="T42" t="n">
        <v>-7.07462609</v>
      </c>
      <c r="U42" t="n">
        <v>107.78839402</v>
      </c>
      <c r="V42" t="inlineStr">
        <is>
          <t>Layak Huni - Tidak Ditempati</t>
        </is>
      </c>
    </row>
    <row r="43" ht="12" customFormat="1" customHeight="1" s="70">
      <c r="A43" t="n">
        <v>31</v>
      </c>
      <c r="B43" t="n">
        <v>31</v>
      </c>
      <c r="C43" t="inlineStr">
        <is>
          <t>EHA</t>
        </is>
      </c>
      <c r="E43" t="inlineStr">
        <is>
          <t>3204355002550004</t>
        </is>
      </c>
      <c r="F43" t="inlineStr">
        <is>
          <t>3204353009220015</t>
        </is>
      </c>
      <c r="G43" t="inlineStr">
        <is>
          <t>KP. LOA RT 3 RW 10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O43" t="inlineStr">
        <is>
          <t>TIDAK LOLOS</t>
        </is>
      </c>
      <c r="P43" t="inlineStr">
        <is>
          <t>3.  Rumah dalam kondisi layak/rusak ringan;</t>
        </is>
      </c>
      <c r="T43" t="n">
        <v>-7.07517481</v>
      </c>
      <c r="U43" t="n">
        <v>107.78658577</v>
      </c>
      <c r="V43" t="inlineStr">
        <is>
          <t>Layak Huni - Dibantu Desa</t>
        </is>
      </c>
    </row>
    <row r="44" ht="12" customFormat="1" customHeight="1" s="70">
      <c r="A44" t="n">
        <v>32</v>
      </c>
      <c r="B44" t="n">
        <v>32</v>
      </c>
      <c r="C44" t="inlineStr">
        <is>
          <t>WARSA</t>
        </is>
      </c>
      <c r="E44" t="inlineStr">
        <is>
          <t>3204351002711001</t>
        </is>
      </c>
      <c r="F44" t="inlineStr">
        <is>
          <t>3204351609140013</t>
        </is>
      </c>
      <c r="G44" t="inlineStr">
        <is>
          <t>KP. BUKATANAH RT 2 RW 3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O44" t="inlineStr">
        <is>
          <t>TIDAK LOLOS</t>
        </is>
      </c>
      <c r="P44" t="inlineStr">
        <is>
          <t>9.  Lainnya (Tidak ingin melanjutkan).</t>
        </is>
      </c>
      <c r="T44" t="n">
        <v>-7.0857243</v>
      </c>
      <c r="U44" t="n">
        <v>107.79673617</v>
      </c>
      <c r="V44" t="inlineStr">
        <is>
          <t>Tidak Ingin Melanjutkan</t>
        </is>
      </c>
    </row>
    <row r="45" ht="12" customFormat="1" customHeight="1" s="70"/>
    <row r="46" ht="12" customFormat="1" customHeight="1" s="70">
      <c r="A46" s="70" t="inlineStr">
        <is>
          <t>Keterangan:</t>
        </is>
      </c>
      <c r="T46" s="245" t="n"/>
      <c r="U46" s="245" t="n"/>
      <c r="W46" s="127" t="n"/>
      <c r="X46" s="127" t="n"/>
      <c r="Y46" s="127" t="n"/>
    </row>
    <row r="47" ht="12" customFormat="1" customHeight="1" s="70">
      <c r="A47" s="243" t="inlineStr">
        <is>
          <t>*)Pemenuhan Kriteria, diisi dengan √ = tersedia /memenuhi /layak, x = tidak tersedia/tidak memenuhi/tidak layak:</t>
        </is>
      </c>
      <c r="L47" s="242" t="inlineStr">
        <is>
          <t>**) Alasan Tidak Lolos, diisi dengan Angka (1-9) sebagai berikut:</t>
        </is>
      </c>
      <c r="W47" s="242" t="n"/>
      <c r="X47" s="242" t="n"/>
      <c r="Y47" s="242" t="n"/>
    </row>
    <row r="48" ht="12" customFormat="1" customHeight="1" s="70">
      <c r="B48" s="127" t="inlineStr">
        <is>
          <t>A. WNI berkeluarga;</t>
        </is>
      </c>
      <c r="E48" s="245" t="n"/>
      <c r="F48" s="245" t="n"/>
      <c r="G48" s="125" t="n"/>
      <c r="L48" s="70" t="inlineStr">
        <is>
          <t>1.   Belum memiliki KK sendiri;</t>
        </is>
      </c>
      <c r="M48" s="307" t="n"/>
      <c r="T48" s="245" t="n"/>
      <c r="U48" s="245" t="n"/>
      <c r="W48" s="127" t="n"/>
      <c r="X48" s="127" t="n"/>
      <c r="Y48" s="127" t="n"/>
    </row>
    <row r="49" ht="12" customFormat="1" customHeight="1" s="70">
      <c r="B49" s="127" t="inlineStr">
        <is>
          <t>B. Memiliki/menguasai tanah dengan alas hak yang sah;</t>
        </is>
      </c>
      <c r="E49" s="245" t="n"/>
      <c r="F49" s="245" t="n"/>
      <c r="G49" s="125" t="n"/>
      <c r="L49" s="70" t="inlineStr">
        <is>
          <t>2.  Tanah bersengketa/tanpa bukti sah kepemilikan/penguasaan lahan/ilegal;</t>
        </is>
      </c>
      <c r="M49" s="307" t="n"/>
      <c r="T49" s="245" t="n"/>
      <c r="U49" s="245" t="n"/>
      <c r="W49" s="127" t="n"/>
      <c r="X49" s="127" t="n"/>
      <c r="Y49" s="127" t="n"/>
    </row>
    <row r="50" ht="12" customFormat="1" customHeight="1" s="70">
      <c r="B50" s="243" t="inlineStr">
        <is>
          <t>C.  BSPS: Memiliki dan menempati satu-satunya rumah dengan kondisi tidak layak huni;</t>
        </is>
      </c>
      <c r="L50" s="70" t="inlineStr">
        <is>
          <t>3.  Rumah dalam kondisi layak/rusak ringan;</t>
        </is>
      </c>
      <c r="M50" s="307" t="n"/>
      <c r="T50" s="245" t="n"/>
      <c r="U50" s="245" t="n"/>
      <c r="W50" s="127" t="n"/>
      <c r="X50" s="127" t="n"/>
      <c r="Y50" s="127" t="n"/>
    </row>
    <row r="51" ht="12" customFormat="1" customHeight="1" s="70">
      <c r="B51" s="243" t="inlineStr">
        <is>
          <t>D. Belum pernah memperoleh program bantuan pembangunan rumah swadaya dan program kemudahan dan bantuan pembiayaan perumahan bagi MBR dalam 10 tahun terakhir;</t>
        </is>
      </c>
      <c r="J51" s="243" t="n"/>
      <c r="L51" s="70" t="inlineStr">
        <is>
          <t>4.  Memiliki rumah lebih dari 1;</t>
        </is>
      </c>
      <c r="M51" s="307" t="n"/>
      <c r="T51" s="245" t="n"/>
      <c r="U51" s="245" t="n"/>
      <c r="W51" s="127" t="n"/>
      <c r="X51" s="127" t="n"/>
      <c r="Y51" s="127" t="n"/>
    </row>
    <row r="52" ht="14.25" customFormat="1" customHeight="1" s="70">
      <c r="B52" s="243" t="inlineStr">
        <is>
          <t>E. Berpenghasilan paling banyak sebesar upah minimum daerah provinsi/ kabupaten/kota;</t>
        </is>
      </c>
      <c r="T52" s="245" t="n"/>
      <c r="U52" s="245" t="n"/>
      <c r="W52" s="127" t="n"/>
      <c r="X52" s="127" t="n"/>
      <c r="Y52" s="127" t="n"/>
    </row>
    <row r="53" ht="11.25" customFormat="1" customHeight="1" s="70">
      <c r="B53" s="133" t="inlineStr">
        <is>
          <t>F. Bersedia mengikuti ketentuan program.</t>
        </is>
      </c>
      <c r="E53" s="245" t="n"/>
      <c r="F53" s="245" t="n"/>
      <c r="G53" s="125" t="n"/>
      <c r="L53" s="70" t="inlineStr">
        <is>
          <t>6.  Penghasilan perbulan tidak lebih dari UMP atau UMK;</t>
        </is>
      </c>
      <c r="M53" s="307" t="n"/>
      <c r="T53" s="245" t="n"/>
      <c r="U53" s="245" t="n"/>
      <c r="W53" s="127" t="n"/>
      <c r="X53" s="127" t="n"/>
      <c r="Y53" s="127" t="n"/>
    </row>
    <row r="54" ht="6.75" customFormat="1" customHeight="1" s="70">
      <c r="B54" s="127" t="n"/>
      <c r="E54" s="245" t="n"/>
      <c r="F54" s="245" t="n"/>
      <c r="G54" s="125" t="n"/>
      <c r="L54" s="70" t="inlineStr">
        <is>
          <t>7.  Memilih untuk dibantu dengan sumber anggaran lain;</t>
        </is>
      </c>
      <c r="M54" s="307" t="n"/>
      <c r="T54" s="245" t="n"/>
      <c r="U54" s="245" t="n"/>
      <c r="W54" s="127" t="n"/>
      <c r="X54" s="127" t="n"/>
      <c r="Y54" s="127" t="n"/>
    </row>
    <row r="55" ht="16.5" customFormat="1" customHeight="1" s="143">
      <c r="F55" s="245" t="n"/>
      <c r="G55" s="125" t="n"/>
      <c r="L55" s="70" t="inlineStr">
        <is>
          <t>8.  Menghuni kurang dari 3 tahun;</t>
        </is>
      </c>
      <c r="M55" s="307" t="n"/>
      <c r="W55" s="127" t="n"/>
      <c r="X55" s="127" t="n"/>
      <c r="Y55" s="127" t="n"/>
    </row>
    <row r="56" ht="11.25" customFormat="1" customHeight="1" s="143">
      <c r="E56" s="245" t="n"/>
      <c r="F56" s="245" t="n"/>
      <c r="G56" s="125" t="n"/>
      <c r="T56" s="245" t="n"/>
      <c r="U56" s="245" t="n"/>
      <c r="W56" s="127" t="n"/>
      <c r="X56" s="127" t="n"/>
      <c r="Y56" s="127" t="n"/>
    </row>
    <row r="57" ht="24" customFormat="1" customHeight="1" s="143">
      <c r="F57" s="245" t="n"/>
      <c r="G57" s="125" t="n"/>
      <c r="K57" s="242" t="inlineStr">
        <is>
          <t>Catatan diisi dengan penjelasan tindak lanjut secara administrasi, atau rekomendasi perbaikan rumah</t>
        </is>
      </c>
      <c r="W57" s="127" t="n"/>
      <c r="X57" s="127" t="n"/>
      <c r="Y57" s="127" t="n"/>
    </row>
    <row r="58" ht="11.25" customFormat="1" customHeight="1" s="143">
      <c r="E58" s="245" t="n"/>
      <c r="F58" s="245" t="n"/>
      <c r="G58" s="125" t="n"/>
      <c r="T58" s="245" t="n"/>
      <c r="U58" s="245" t="n"/>
      <c r="W58" s="127" t="n"/>
      <c r="X58" s="127" t="n"/>
      <c r="Y58" s="127" t="n"/>
    </row>
    <row r="59" ht="11.25" customFormat="1" customHeight="1" s="143">
      <c r="E59" s="245" t="n"/>
      <c r="F59" s="245" t="n"/>
      <c r="G59" s="125" t="n"/>
      <c r="T59" s="245" t="n"/>
      <c r="U59" s="245" t="n"/>
      <c r="W59" s="127" t="n"/>
      <c r="X59" s="127" t="n"/>
      <c r="Y59" s="127" t="n"/>
    </row>
    <row r="60" ht="11.25" customFormat="1" customHeight="1" s="143">
      <c r="C60" s="237" t="inlineStr">
        <is>
          <t>Disetujui Oleh,</t>
        </is>
      </c>
      <c r="F60" s="237" t="n"/>
      <c r="G60" s="237" t="inlineStr">
        <is>
          <t>Diperiksa Oleh,</t>
        </is>
      </c>
      <c r="O60" s="237" t="inlineStr">
        <is>
          <t>Diketahui Oleh,</t>
        </is>
      </c>
      <c r="Q60" s="237" t="inlineStr">
        <is>
          <t xml:space="preserve">Dibuat Oleh, </t>
        </is>
      </c>
      <c r="W60" s="144" t="n"/>
      <c r="X60" s="144" t="n"/>
      <c r="Y60" s="144" t="n"/>
    </row>
    <row r="61" ht="11.25" customFormat="1" customHeight="1" s="143">
      <c r="E61" s="237" t="n"/>
      <c r="I61" s="237" t="n"/>
      <c r="W61" s="144" t="n"/>
      <c r="X61" s="144" t="n"/>
      <c r="Y61" s="144" t="n"/>
    </row>
    <row r="62" ht="11.25" customFormat="1" customHeight="1" s="143">
      <c r="C62" s="237" t="inlineStr">
        <is>
          <t>Ketua Tim Verifikasi dan Pengawasan</t>
        </is>
      </c>
      <c r="F62" s="237" t="n"/>
      <c r="G62" s="237" t="inlineStr">
        <is>
          <t>Koordinator</t>
        </is>
      </c>
      <c r="O62" s="237">
        <f>IF(A5="Desa","Kepala Desa","Lurah")</f>
        <v/>
      </c>
      <c r="Q62" s="237" t="inlineStr">
        <is>
          <t xml:space="preserve">Tenaga Fasilitator Lapangan </t>
        </is>
      </c>
      <c r="W62" s="144" t="n"/>
      <c r="X62" s="144" t="n"/>
      <c r="Y62" s="144" t="n"/>
    </row>
    <row r="63" ht="11.25" customFormat="1" customHeight="1" s="143">
      <c r="C63" s="237" t="n"/>
      <c r="D63" s="145" t="n"/>
      <c r="F63" s="237" t="n"/>
      <c r="G63" s="237">
        <f>Source!A2&amp;" "&amp;PROPER(Source!B2)</f>
        <v/>
      </c>
      <c r="O63" s="237">
        <f>PROPER(Source!B4)</f>
        <v/>
      </c>
      <c r="T63" s="237" t="n"/>
      <c r="U63" s="237" t="n"/>
      <c r="W63" s="144" t="n"/>
      <c r="X63" s="144" t="n"/>
      <c r="Y63" s="144" t="n"/>
    </row>
    <row r="64" ht="11.25" customFormat="1" customHeight="1" s="143">
      <c r="C64" s="237" t="n"/>
      <c r="D64" s="145" t="n"/>
      <c r="F64" s="237" t="n"/>
      <c r="T64" s="237" t="n"/>
      <c r="U64" s="237" t="n"/>
      <c r="W64" s="144" t="n"/>
      <c r="X64" s="144" t="n"/>
      <c r="Y64" s="144" t="n"/>
    </row>
    <row r="65" ht="11.25" customFormat="1" customHeight="1" s="143">
      <c r="C65" s="237" t="n"/>
      <c r="D65" s="145" t="n"/>
      <c r="F65" s="237" t="n"/>
      <c r="T65" s="237" t="n"/>
      <c r="U65" s="237" t="n"/>
      <c r="W65" s="144" t="n"/>
      <c r="X65" s="144" t="n"/>
      <c r="Y65" s="144" t="n"/>
    </row>
    <row r="66" ht="11.25" customFormat="1" customHeight="1" s="143">
      <c r="C66" s="237" t="n"/>
      <c r="D66" s="145" t="n"/>
      <c r="F66" s="237" t="n"/>
      <c r="T66" s="237" t="n"/>
      <c r="U66" s="237" t="n"/>
      <c r="W66" s="144" t="n"/>
      <c r="X66" s="144" t="n"/>
      <c r="Y66" s="144" t="n"/>
    </row>
    <row r="67" ht="11.25" customFormat="1" customHeight="1" s="143">
      <c r="C67" s="237" t="n"/>
      <c r="D67" s="145" t="n"/>
      <c r="F67" s="237" t="n"/>
      <c r="T67" s="237" t="n"/>
      <c r="U67" s="237" t="n"/>
      <c r="W67" s="144" t="n"/>
      <c r="X67" s="144" t="n"/>
      <c r="Y67" s="144" t="n"/>
    </row>
    <row r="68" ht="16.5" customFormat="1" customHeight="1" s="143">
      <c r="C68" s="237" t="n"/>
      <c r="F68" s="237" t="n"/>
      <c r="T68" s="237" t="n"/>
      <c r="W68" s="144" t="n"/>
      <c r="X68" s="144" t="n"/>
      <c r="Y68" s="144" t="n"/>
    </row>
    <row r="69" ht="11.25" customFormat="1" customHeight="1" s="143">
      <c r="C69" s="237" t="n"/>
      <c r="F69" s="237" t="n"/>
      <c r="T69" s="237" t="n"/>
      <c r="U69" s="237" t="n"/>
      <c r="W69" s="144" t="n"/>
      <c r="X69" s="144" t="n"/>
      <c r="Y69" s="144" t="n"/>
    </row>
    <row r="70" ht="11.25" customHeight="1">
      <c r="C70" s="237" t="n"/>
      <c r="D70" s="145" t="n"/>
      <c r="F70" s="237" t="n"/>
      <c r="T70" s="237" t="n"/>
      <c r="U70" s="237" t="n"/>
      <c r="W70" s="144" t="n"/>
      <c r="X70" s="144" t="n"/>
      <c r="Y70" s="144" t="n"/>
    </row>
    <row r="71" ht="11.25" customHeight="1">
      <c r="C71" s="237" t="n"/>
      <c r="D71" s="145" t="n"/>
      <c r="F71" s="237" t="n"/>
      <c r="T71" s="237" t="n"/>
      <c r="U71" s="237" t="n"/>
      <c r="W71" s="144" t="n"/>
      <c r="X71" s="144" t="n"/>
      <c r="Y71" s="144" t="n"/>
    </row>
    <row r="72" ht="11.25" customHeight="1">
      <c r="C72" s="237" t="n"/>
      <c r="D72" s="145" t="n"/>
      <c r="F72" s="237" t="n"/>
      <c r="T72" s="237" t="n"/>
      <c r="U72" s="237" t="n"/>
      <c r="W72" s="144" t="n"/>
      <c r="X72" s="144" t="n"/>
      <c r="Y72" s="144" t="n"/>
    </row>
    <row r="73" ht="11.25" customHeight="1">
      <c r="A73" s="146" t="n"/>
      <c r="B73" s="146" t="n"/>
      <c r="C73" s="239" t="inlineStr">
        <is>
          <t>Firdha Ruqmana, S.T.</t>
        </is>
      </c>
      <c r="F73" s="237" t="n"/>
      <c r="G73" s="239">
        <f>Source!B7</f>
        <v/>
      </c>
      <c r="J73" s="146" t="n"/>
      <c r="K73" s="146" t="n"/>
      <c r="L73" s="146" t="n"/>
      <c r="M73" s="146" t="n"/>
      <c r="N73" s="146" t="n"/>
      <c r="O73" s="239">
        <f>Source!B5</f>
        <v/>
      </c>
      <c r="Q73" s="239">
        <f>Source!B8</f>
        <v/>
      </c>
      <c r="T73" s="239">
        <f>Source!B9</f>
        <v/>
      </c>
      <c r="W73" s="147" t="n"/>
      <c r="X73" s="147" t="n"/>
      <c r="Y73" s="147" t="n"/>
    </row>
    <row r="74" ht="11.25" customHeight="1">
      <c r="C74" s="237" t="inlineStr">
        <is>
          <t>Nip. 19960430 2019032008</t>
        </is>
      </c>
      <c r="F74" s="237" t="n"/>
      <c r="G74" s="145" t="n"/>
      <c r="L74" s="237" t="n"/>
      <c r="M74" s="237" t="n"/>
      <c r="O74" s="237">
        <f>IF(A5="Desa","","NIP. "&amp;Source!B6)</f>
        <v/>
      </c>
      <c r="T74" s="237" t="n"/>
      <c r="U74" s="237" t="n"/>
      <c r="W74" s="144" t="n"/>
      <c r="X74" s="144" t="n"/>
      <c r="Y74" s="144" t="n"/>
    </row>
    <row r="75" ht="11.25" customHeight="1">
      <c r="L75" s="148" t="n"/>
      <c r="M75" s="148" t="n"/>
    </row>
    <row r="76" ht="11.25" customHeight="1"/>
    <row r="77" ht="11.25" customHeight="1"/>
    <row r="78" ht="11.25" customHeight="1"/>
    <row r="79" ht="11.25" customHeight="1"/>
    <row r="80" ht="11.25" customHeight="1"/>
    <row r="81" ht="11.25" customHeight="1">
      <c r="A81" s="6" t="n"/>
      <c r="B81" s="6" t="n"/>
      <c r="C81" s="6" t="n"/>
      <c r="D81" s="6" t="n"/>
      <c r="E81" s="26" t="n"/>
      <c r="F81" s="26" t="n"/>
      <c r="G81" s="29" t="n"/>
      <c r="H81" s="27" t="n"/>
      <c r="I81" s="27" t="n"/>
      <c r="J81" s="27" t="n"/>
      <c r="K81" s="27" t="n"/>
      <c r="L81" s="180" t="n"/>
      <c r="M81" s="180" t="n"/>
      <c r="O81" s="6" t="n"/>
      <c r="P81" s="6" t="n"/>
      <c r="Q81" s="6" t="n"/>
      <c r="R81" s="6" t="n"/>
      <c r="S81" s="6" t="n"/>
      <c r="T81" s="26" t="n"/>
      <c r="U81" s="26" t="n"/>
      <c r="V81" s="6" t="n"/>
      <c r="W81" s="28" t="n"/>
      <c r="X81" s="28" t="n"/>
      <c r="Y81" s="28" t="n"/>
    </row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</sheetData>
  <mergeCells count="45">
    <mergeCell ref="P10:P11"/>
    <mergeCell ref="T68:V68"/>
    <mergeCell ref="O68:P68"/>
    <mergeCell ref="C55:E55"/>
    <mergeCell ref="G57:I57"/>
    <mergeCell ref="I56:N56"/>
    <mergeCell ref="C10:C11"/>
    <mergeCell ref="B46:I46"/>
    <mergeCell ref="G68:I68"/>
    <mergeCell ref="E10:E11"/>
    <mergeCell ref="V10:V11"/>
    <mergeCell ref="A4:V4"/>
    <mergeCell ref="G10:G11"/>
    <mergeCell ref="K52:S52"/>
    <mergeCell ref="Y10:Y11"/>
    <mergeCell ref="D6:E6"/>
    <mergeCell ref="G58:I58"/>
    <mergeCell ref="T10:U10"/>
    <mergeCell ref="G55:I55"/>
    <mergeCell ref="Q10:R10"/>
    <mergeCell ref="B10:B11"/>
    <mergeCell ref="W8:Y8"/>
    <mergeCell ref="O69:P69"/>
    <mergeCell ref="X10:X11"/>
    <mergeCell ref="D7:E7"/>
    <mergeCell ref="C57:E57"/>
    <mergeCell ref="O55:P55"/>
    <mergeCell ref="C69:E69"/>
    <mergeCell ref="N10:O10"/>
    <mergeCell ref="Q57:V57"/>
    <mergeCell ref="A10:A11"/>
    <mergeCell ref="C68:E68"/>
    <mergeCell ref="B47:J47"/>
    <mergeCell ref="O58:P58"/>
    <mergeCell ref="D8:E8"/>
    <mergeCell ref="W10:W11"/>
    <mergeCell ref="A3:V3"/>
    <mergeCell ref="Q68:S68"/>
    <mergeCell ref="D10:D11"/>
    <mergeCell ref="B45:I45"/>
    <mergeCell ref="H10:M10"/>
    <mergeCell ref="D5:E5"/>
    <mergeCell ref="O57:P57"/>
    <mergeCell ref="F10:F11"/>
    <mergeCell ref="Q55:V55"/>
  </mergeCells>
  <conditionalFormatting sqref="A13:V39">
    <cfRule type="expression" priority="17" dxfId="2">
      <formula>$O13="TIDAK LOLOS"</formula>
    </cfRule>
    <cfRule type="expression" priority="18" dxfId="1">
      <formula>$N13="PENGGANTI"</formula>
    </cfRule>
    <cfRule type="expression" priority="19" dxfId="0">
      <formula>$N13="LOLOS"</formula>
    </cfRule>
  </conditionalFormatting>
  <conditionalFormatting sqref="E1:E54 E70:E1048576">
    <cfRule type="duplicateValues" priority="1" dxfId="3"/>
  </conditionalFormatting>
  <dataValidations count="6">
    <dataValidation sqref="AG6" showDropDown="0" showInputMessage="1" showErrorMessage="1" allowBlank="1" errorTitle="Pengisian NIK harus sesuai" error="Jumlah angka NIK tidak sesuai (tidak sama dengan 16 angka)" promptTitle="Masukan NIK" prompt="Jumlah angka harus 16" type="textLength" operator="equal">
      <formula1>16</formula1>
    </dataValidation>
    <dataValidation sqref="N13:N39" showDropDown="0" showInputMessage="1" showErrorMessage="1" allowBlank="1" type="list">
      <formula1>$AD$13:$AD$14</formula1>
    </dataValidation>
    <dataValidation sqref="S13:S39" showDropDown="0" showInputMessage="1" showErrorMessage="1" allowBlank="1" type="list">
      <formula1>$AD$16:$AD$18</formula1>
    </dataValidation>
    <dataValidation sqref="H13:M39" showDropDown="0" showInputMessage="1" showErrorMessage="1" allowBlank="1" type="list">
      <formula1>"√,x,"</formula1>
    </dataValidation>
    <dataValidation sqref="P13:P39" showDropDown="0" showInputMessage="1" showErrorMessage="1" allowBlank="1" type="list">
      <formula1>$L$43:$L$51</formula1>
    </dataValidation>
    <dataValidation sqref="O13:O39" showDropDown="0" showInputMessage="1" showErrorMessage="1" allowBlank="1" type="list">
      <formula1>$O$11</formula1>
    </dataValidation>
  </dataValidations>
  <pageMargins left="0.23" right="0" top="0.39" bottom="0.393700787401575" header="0.16" footer="0.31496062992126"/>
  <pageSetup orientation="landscape" paperSize="9" scale="40" fitToHeight="0"/>
  <rowBreaks count="1" manualBreakCount="1">
    <brk id="70" min="0" max="21" man="1"/>
  </rowBreaks>
  <colBreaks count="1" manualBreakCount="1">
    <brk id="25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2"/>
  <sheetViews>
    <sheetView view="pageBreakPreview" topLeftCell="F5" zoomScale="86" zoomScaleNormal="86" zoomScaleSheetLayoutView="86" workbookViewId="0">
      <selection activeCell="M22" sqref="M22:N22"/>
    </sheetView>
  </sheetViews>
  <sheetFormatPr baseColWidth="8" defaultColWidth="10.85546875" defaultRowHeight="20.25" customHeight="1"/>
  <cols>
    <col width="4.42578125" bestFit="1" customWidth="1" style="34" min="1" max="1"/>
    <col width="13.85546875" customWidth="1" style="34" min="2" max="2"/>
    <col width="27" customWidth="1" style="34" min="3" max="3"/>
    <col width="10.85546875" customWidth="1" style="34" min="4" max="4"/>
    <col width="25.5703125" customWidth="1" style="34" min="5" max="5"/>
    <col width="46" customWidth="1" style="35" min="6" max="6"/>
    <col width="24.140625" customWidth="1" style="34" min="7" max="7"/>
    <col width="22" customWidth="1" style="34" min="8" max="8"/>
    <col width="13.85546875" customWidth="1" style="34" min="9" max="9"/>
    <col width="25.140625" customWidth="1" style="34" min="10" max="10"/>
    <col width="12.42578125" customWidth="1" style="34" min="11" max="11"/>
    <col width="14.140625" customWidth="1" style="34" min="12" max="12"/>
    <col width="16.42578125" customWidth="1" style="38" min="13" max="13"/>
    <col width="16.5703125" customWidth="1" style="38" min="14" max="14"/>
    <col width="28.7109375" bestFit="1" customWidth="1" style="38" min="15" max="15"/>
    <col width="22" bestFit="1" customWidth="1" style="32" min="16" max="16"/>
    <col width="22.42578125" customWidth="1" style="32" min="17" max="17"/>
    <col width="10.85546875" customWidth="1" style="34" min="18" max="18"/>
    <col hidden="1" width="13" customWidth="1" style="34" min="19" max="19"/>
    <col width="10.85546875" customWidth="1" style="34" min="20" max="16384"/>
  </cols>
  <sheetData>
    <row r="1" ht="20.25" customHeight="1">
      <c r="M1" s="36" t="n"/>
      <c r="N1" s="37" t="inlineStr">
        <is>
          <t>Format II-5</t>
        </is>
      </c>
      <c r="O1" s="37" t="n"/>
      <c r="P1" s="31" t="n"/>
      <c r="Q1" s="31" t="n"/>
    </row>
    <row r="2" ht="20.25" customHeight="1">
      <c r="P2" s="31" t="n"/>
      <c r="Q2" s="31" t="n"/>
    </row>
    <row r="3" ht="20.25" customHeight="1">
      <c r="A3" s="255" t="inlineStr">
        <is>
          <t xml:space="preserve">DAFTAR CALON PENERIMA BANTUAN </t>
        </is>
      </c>
      <c r="O3" s="52" t="n"/>
      <c r="P3" s="53" t="n"/>
      <c r="Q3" s="53" t="n"/>
      <c r="R3" s="39" t="n"/>
      <c r="S3" s="39" t="n"/>
    </row>
    <row r="4" ht="20.25" customHeight="1">
      <c r="A4" s="256" t="inlineStr">
        <is>
          <t>KEGIATAN BANTUAN STIMULAN PERUMAHAN SWADAYA TAHUN 2026</t>
        </is>
      </c>
      <c r="O4" s="54" t="n"/>
      <c r="P4" s="53" t="n"/>
      <c r="Q4" s="53" t="n"/>
      <c r="R4" s="40" t="n"/>
      <c r="S4" s="40" t="n"/>
    </row>
    <row r="5" ht="20.25" customHeight="1">
      <c r="A5" s="257" t="inlineStr">
        <is>
          <t>PROVINSI JAWA BARAT</t>
        </is>
      </c>
      <c r="O5" s="56" t="n"/>
      <c r="P5" s="53" t="n"/>
      <c r="Q5" s="53" t="n"/>
    </row>
    <row r="6" ht="20.25" customHeight="1">
      <c r="A6" s="55" t="n"/>
      <c r="B6" s="55" t="n"/>
      <c r="C6" s="55" t="n"/>
      <c r="D6" s="55" t="n"/>
      <c r="E6" s="55" t="n"/>
      <c r="F6" s="57" t="n"/>
      <c r="G6" s="55" t="n"/>
      <c r="H6" s="55" t="n"/>
      <c r="I6" s="55" t="n"/>
      <c r="J6" s="55" t="n"/>
      <c r="K6" s="55" t="n"/>
      <c r="L6" s="55" t="n"/>
      <c r="M6" s="56" t="n"/>
      <c r="N6" s="56" t="n"/>
      <c r="O6" s="262">
        <f>'II-4'!W8</f>
        <v/>
      </c>
      <c r="R6" s="41" t="n"/>
      <c r="S6" s="41" t="n"/>
    </row>
    <row r="7" ht="20.25" customHeight="1">
      <c r="A7" s="55" t="n"/>
      <c r="B7" s="55" t="n"/>
      <c r="C7" s="55" t="n"/>
      <c r="D7" s="55" t="n"/>
      <c r="E7" s="55" t="n"/>
      <c r="F7" s="57" t="n"/>
      <c r="G7" s="55" t="n"/>
      <c r="H7" s="55" t="n"/>
      <c r="I7" s="55" t="n"/>
      <c r="J7" s="55" t="n"/>
      <c r="K7" s="55" t="n"/>
      <c r="L7" s="55" t="n"/>
      <c r="M7" s="56" t="n"/>
      <c r="N7" s="56" t="n"/>
      <c r="O7" s="56" t="n"/>
      <c r="P7" s="58" t="n"/>
      <c r="Q7" s="58" t="n"/>
      <c r="R7" s="41" t="n"/>
      <c r="S7" s="41" t="n"/>
    </row>
    <row r="8" ht="24.75" customHeight="1">
      <c r="A8" s="265" t="inlineStr">
        <is>
          <t>NO.</t>
        </is>
      </c>
      <c r="B8" s="265" t="inlineStr">
        <is>
          <t>KODE KEL</t>
        </is>
      </c>
      <c r="C8" s="265" t="inlineStr">
        <is>
          <t>NAMA</t>
        </is>
      </c>
      <c r="D8" s="65" t="inlineStr">
        <is>
          <t>JENIS KELAMIN (L/P)</t>
        </is>
      </c>
      <c r="E8" s="265" t="inlineStr">
        <is>
          <t>NIK</t>
        </is>
      </c>
      <c r="F8" s="65" t="inlineStr">
        <is>
          <t>ALAMAT TEMPAT TINGGAL</t>
        </is>
      </c>
      <c r="G8" s="65">
        <f>UPPER(Source!A4)</f>
        <v/>
      </c>
      <c r="H8" s="265" t="inlineStr">
        <is>
          <t>KECAMATAN</t>
        </is>
      </c>
      <c r="I8" s="265">
        <f>UPPER(Source!A2)</f>
        <v/>
      </c>
      <c r="J8" s="265" t="inlineStr">
        <is>
          <t>*) LOLOS/ PENGGANTI</t>
        </is>
      </c>
      <c r="K8" s="265" t="inlineStr">
        <is>
          <t>INSTRUKSI VERIFIKASI</t>
        </is>
      </c>
      <c r="L8" s="276" t="n"/>
      <c r="M8" s="265" t="inlineStr">
        <is>
          <t>Titik Koordinat</t>
        </is>
      </c>
      <c r="N8" s="276" t="n"/>
      <c r="O8" s="104" t="inlineStr">
        <is>
          <t>TEMPAT &amp; TANGGAL LAHIR CPB</t>
        </is>
      </c>
      <c r="P8" s="104" t="inlineStr">
        <is>
          <t>NAMA IBU KANDUNG</t>
        </is>
      </c>
      <c r="Q8" s="104" t="inlineStr">
        <is>
          <t>STATUS PERNIKAHAN *Sesuai dengan KTP</t>
        </is>
      </c>
      <c r="R8" s="41" t="n"/>
      <c r="S8" s="41" t="n"/>
    </row>
    <row r="9" ht="24.75" customHeight="1">
      <c r="A9" s="279" t="n"/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65" t="inlineStr">
        <is>
          <t>TAHAP</t>
        </is>
      </c>
      <c r="L9" s="265" t="inlineStr">
        <is>
          <t>TANGGAL</t>
        </is>
      </c>
      <c r="M9" s="104" t="inlineStr">
        <is>
          <t>S</t>
        </is>
      </c>
      <c r="N9" s="104" t="inlineStr">
        <is>
          <t>E</t>
        </is>
      </c>
      <c r="O9" s="279" t="n"/>
      <c r="P9" s="279" t="n"/>
      <c r="Q9" s="279" t="n"/>
      <c r="R9" s="41" t="n"/>
      <c r="S9" s="41" t="n"/>
    </row>
    <row r="10" ht="20.25" customHeight="1">
      <c r="A10" s="105" t="n">
        <v>1</v>
      </c>
      <c r="B10" s="106" t="n"/>
      <c r="C10" s="107" t="inlineStr">
        <is>
          <t>AAM</t>
        </is>
      </c>
      <c r="D10" s="106" t="n"/>
      <c r="E10" s="107" t="inlineStr">
        <is>
          <t>3204350610650002</t>
        </is>
      </c>
      <c r="F10" s="108" t="inlineStr">
        <is>
          <t>KP LENGGO RT 2 RW 11</t>
        </is>
      </c>
      <c r="G10" s="105" t="n"/>
      <c r="H10" s="105" t="n"/>
      <c r="I10" s="105" t="n"/>
      <c r="J10" s="105" t="inlineStr">
        <is>
          <t>LOLOS</t>
        </is>
      </c>
      <c r="K10" s="105" t="n"/>
      <c r="L10" s="109" t="n"/>
      <c r="M10" s="110" t="n">
        <v>-7.066851</v>
      </c>
      <c r="N10" s="110" t="n">
        <v>107.78175572</v>
      </c>
      <c r="O10" s="93" t="n"/>
      <c r="P10" s="94" t="n"/>
      <c r="Q10" s="95" t="n"/>
      <c r="R10" s="41" t="n"/>
      <c r="S10" s="46" t="inlineStr">
        <is>
          <t>LOLOS</t>
        </is>
      </c>
    </row>
    <row r="11" ht="20.25" customHeight="1">
      <c r="A11" s="105" t="n">
        <v>2</v>
      </c>
      <c r="B11" s="106" t="n"/>
      <c r="C11" s="107" t="inlineStr">
        <is>
          <t>ENGKUS</t>
        </is>
      </c>
      <c r="D11" s="106" t="n"/>
      <c r="E11" s="107" t="inlineStr">
        <is>
          <t>3204350408910001</t>
        </is>
      </c>
      <c r="F11" s="108" t="inlineStr">
        <is>
          <t>KP TIISDINGIN RT 2 RW 6</t>
        </is>
      </c>
      <c r="G11" s="105" t="n"/>
      <c r="H11" s="105" t="n"/>
      <c r="I11" s="105" t="n"/>
      <c r="J11" s="105" t="inlineStr">
        <is>
          <t>LOLOS</t>
        </is>
      </c>
      <c r="K11" s="105" t="n"/>
      <c r="L11" s="109" t="n"/>
      <c r="M11" s="111" t="n">
        <v>-7.07871371</v>
      </c>
      <c r="N11" s="111" t="n">
        <v>107.79092113</v>
      </c>
      <c r="O11" s="93" t="n"/>
      <c r="P11" s="94" t="n"/>
      <c r="Q11" s="95" t="n"/>
      <c r="R11" s="41" t="n"/>
      <c r="S11" s="46" t="inlineStr">
        <is>
          <t>LOLOS</t>
        </is>
      </c>
    </row>
    <row r="12" ht="20.25" customHeight="1">
      <c r="A12" s="105" t="n">
        <v>3</v>
      </c>
      <c r="B12" s="106" t="n"/>
      <c r="C12" s="107" t="inlineStr">
        <is>
          <t>SARIFUDIN</t>
        </is>
      </c>
      <c r="D12" s="106" t="n"/>
      <c r="E12" s="107" t="inlineStr">
        <is>
          <t>3204352307940008</t>
        </is>
      </c>
      <c r="F12" s="108" t="inlineStr">
        <is>
          <t>KP LOA RT 3 RW 10</t>
        </is>
      </c>
      <c r="G12" s="105" t="n"/>
      <c r="H12" s="105" t="n"/>
      <c r="I12" s="105" t="n"/>
      <c r="J12" s="105" t="inlineStr">
        <is>
          <t>LOLOS</t>
        </is>
      </c>
      <c r="K12" s="105" t="n"/>
      <c r="L12" s="109" t="n"/>
      <c r="M12" s="111" t="n">
        <v>-7.07484315</v>
      </c>
      <c r="N12" s="111" t="n">
        <v>107.78680648</v>
      </c>
      <c r="O12" s="93" t="n"/>
      <c r="P12" s="94" t="n"/>
      <c r="Q12" s="95" t="n"/>
      <c r="R12" s="41" t="n"/>
      <c r="S12" s="41" t="inlineStr">
        <is>
          <t>LOLOS</t>
        </is>
      </c>
    </row>
    <row r="13" ht="20.25" customHeight="1">
      <c r="A13" s="105" t="n">
        <v>4</v>
      </c>
      <c r="B13" s="106" t="n"/>
      <c r="C13" s="107" t="inlineStr">
        <is>
          <t>AHMAD</t>
        </is>
      </c>
      <c r="D13" s="106" t="n"/>
      <c r="E13" s="107" t="inlineStr">
        <is>
          <t>3204351702540001</t>
        </is>
      </c>
      <c r="F13" s="108" t="inlineStr">
        <is>
          <t>KP CILOPANG 001/003 RT 01 RW 03</t>
        </is>
      </c>
      <c r="G13" s="105" t="n"/>
      <c r="H13" s="105" t="n"/>
      <c r="I13" s="105" t="n"/>
      <c r="J13" s="105" t="inlineStr">
        <is>
          <t>LOLOS</t>
        </is>
      </c>
      <c r="K13" s="105" t="n"/>
      <c r="L13" s="109" t="n"/>
      <c r="M13" s="111" t="n">
        <v>-7.08283488</v>
      </c>
      <c r="N13" s="111" t="n">
        <v>107.79459227</v>
      </c>
      <c r="O13" s="93" t="n"/>
      <c r="P13" s="94" t="n"/>
      <c r="Q13" s="95" t="n"/>
      <c r="R13" s="41" t="n"/>
      <c r="S13" s="41" t="inlineStr">
        <is>
          <t>LOLOS</t>
        </is>
      </c>
    </row>
    <row r="14" ht="20.25" customHeight="1">
      <c r="A14" s="105" t="n">
        <v>5</v>
      </c>
      <c r="B14" s="106" t="n"/>
      <c r="C14" s="107" t="inlineStr">
        <is>
          <t>ASEP AAN SAEPUDIN</t>
        </is>
      </c>
      <c r="D14" s="106" t="n"/>
      <c r="E14" s="107" t="inlineStr">
        <is>
          <t>3204350901750002</t>
        </is>
      </c>
      <c r="F14" s="108" t="inlineStr">
        <is>
          <t>KP LOA RT 01/01</t>
        </is>
      </c>
      <c r="G14" s="105" t="n"/>
      <c r="H14" s="105" t="n"/>
      <c r="I14" s="105" t="n"/>
      <c r="J14" s="105" t="inlineStr">
        <is>
          <t>LOLOS</t>
        </is>
      </c>
      <c r="K14" s="105" t="n"/>
      <c r="L14" s="109" t="n"/>
      <c r="M14" s="111" t="n">
        <v>-7.06993095</v>
      </c>
      <c r="N14" s="111" t="n">
        <v>107.78665329</v>
      </c>
      <c r="O14" s="93" t="n"/>
      <c r="P14" s="94" t="n"/>
      <c r="Q14" s="95" t="n"/>
      <c r="R14" s="41" t="n"/>
      <c r="S14" s="41" t="inlineStr">
        <is>
          <t>LOLOS</t>
        </is>
      </c>
    </row>
    <row r="15" ht="20.25" customHeight="1">
      <c r="A15" s="105" t="n">
        <v>6</v>
      </c>
      <c r="B15" s="106" t="n"/>
      <c r="C15" s="107" t="inlineStr">
        <is>
          <t>DANA</t>
        </is>
      </c>
      <c r="D15" s="106" t="n"/>
      <c r="E15" s="107" t="inlineStr">
        <is>
          <t>3204352610750003</t>
        </is>
      </c>
      <c r="F15" s="108" t="inlineStr">
        <is>
          <t>KP SUKA GEUNAH RT 01/05</t>
        </is>
      </c>
      <c r="G15" s="105" t="n"/>
      <c r="H15" s="105" t="n"/>
      <c r="I15" s="105" t="n"/>
      <c r="J15" s="105" t="inlineStr">
        <is>
          <t>LOLOS</t>
        </is>
      </c>
      <c r="K15" s="105" t="n"/>
      <c r="L15" s="109" t="n"/>
      <c r="M15" s="111" t="n">
        <v>-7.07811971</v>
      </c>
      <c r="N15" s="111" t="n">
        <v>107.78832886</v>
      </c>
      <c r="O15" s="93" t="n"/>
      <c r="P15" s="94" t="n"/>
      <c r="Q15" s="95" t="n"/>
      <c r="R15" s="41" t="n"/>
      <c r="S15" s="41" t="inlineStr">
        <is>
          <t>LOLOS</t>
        </is>
      </c>
    </row>
    <row r="16" ht="20.25" customHeight="1">
      <c r="A16" s="105" t="n">
        <v>7</v>
      </c>
      <c r="B16" s="106" t="n"/>
      <c r="C16" s="107" t="inlineStr">
        <is>
          <t>NURHAYATI</t>
        </is>
      </c>
      <c r="D16" s="106" t="n"/>
      <c r="E16" s="107" t="inlineStr">
        <is>
          <t>3204354805770008</t>
        </is>
      </c>
      <c r="F16" s="108" t="inlineStr">
        <is>
          <t>KP CILOPANG RT 02 RW 07</t>
        </is>
      </c>
      <c r="G16" s="105" t="n"/>
      <c r="H16" s="105" t="n"/>
      <c r="I16" s="105" t="n"/>
      <c r="J16" s="105" t="inlineStr">
        <is>
          <t>LOLOS</t>
        </is>
      </c>
      <c r="K16" s="105" t="n"/>
      <c r="L16" s="109" t="n"/>
      <c r="M16" s="111" t="n">
        <v>-7.0848874</v>
      </c>
      <c r="N16" s="111" t="n">
        <v>107.79678709</v>
      </c>
      <c r="O16" s="93" t="n"/>
      <c r="P16" s="94" t="n"/>
      <c r="Q16" s="95" t="n"/>
      <c r="R16" s="41" t="n"/>
      <c r="S16" s="41" t="inlineStr">
        <is>
          <t>LOLOS</t>
        </is>
      </c>
    </row>
    <row r="17" ht="20.25" customHeight="1">
      <c r="A17" s="105" t="n">
        <v>8</v>
      </c>
      <c r="B17" s="106" t="n"/>
      <c r="C17" s="107" t="inlineStr">
        <is>
          <t>TARLAN</t>
        </is>
      </c>
      <c r="D17" s="106" t="n"/>
      <c r="E17" s="107" t="inlineStr">
        <is>
          <t>3204351808630003</t>
        </is>
      </c>
      <c r="F17" s="108" t="inlineStr">
        <is>
          <t>KP CILOPANG RT 04/07</t>
        </is>
      </c>
      <c r="G17" s="105" t="n"/>
      <c r="H17" s="105" t="n"/>
      <c r="I17" s="105" t="n"/>
      <c r="J17" s="105" t="inlineStr">
        <is>
          <t>LOLOS</t>
        </is>
      </c>
      <c r="K17" s="105" t="n"/>
      <c r="L17" s="109" t="n"/>
      <c r="M17" s="111" t="n">
        <v>-7.08333318</v>
      </c>
      <c r="N17" s="110" t="n">
        <v>107.79359855</v>
      </c>
      <c r="O17" s="96" t="n"/>
      <c r="P17" s="94" t="n"/>
      <c r="Q17" s="97" t="n"/>
      <c r="R17" s="41" t="n"/>
      <c r="S17" s="41" t="inlineStr">
        <is>
          <t>LOLOS</t>
        </is>
      </c>
    </row>
    <row r="18" ht="20.25" customHeight="1">
      <c r="A18" s="105" t="n">
        <v>9</v>
      </c>
      <c r="B18" s="106" t="n"/>
      <c r="C18" s="107" t="inlineStr">
        <is>
          <t>ICAH</t>
        </is>
      </c>
      <c r="D18" s="106" t="n"/>
      <c r="E18" s="107" t="inlineStr">
        <is>
          <t>3204354107710061</t>
        </is>
      </c>
      <c r="F18" s="108" t="inlineStr">
        <is>
          <t>Sempak RT 003 RW 005</t>
        </is>
      </c>
      <c r="G18" s="105" t="n"/>
      <c r="H18" s="105" t="n"/>
      <c r="I18" s="105" t="n"/>
      <c r="J18" s="105" t="inlineStr">
        <is>
          <t>LOLOS</t>
        </is>
      </c>
      <c r="K18" s="105" t="n"/>
      <c r="L18" s="109" t="n"/>
      <c r="M18" s="111" t="n">
        <v>-7.07946427</v>
      </c>
      <c r="N18" s="111" t="n">
        <v>107.78655359</v>
      </c>
      <c r="O18" s="93" t="n"/>
      <c r="P18" s="94" t="n"/>
      <c r="Q18" s="95" t="n"/>
      <c r="R18" s="41" t="n"/>
      <c r="S18" s="41" t="inlineStr">
        <is>
          <t>LOLOS</t>
        </is>
      </c>
    </row>
    <row r="19" ht="20.25" customHeight="1">
      <c r="A19" s="105" t="n">
        <v>10</v>
      </c>
      <c r="B19" s="106" t="n"/>
      <c r="C19" s="107" t="inlineStr">
        <is>
          <t>ADE</t>
        </is>
      </c>
      <c r="D19" s="106" t="n"/>
      <c r="E19" s="107" t="inlineStr">
        <is>
          <t>3204351205630001</t>
        </is>
      </c>
      <c r="F19" s="108" t="inlineStr">
        <is>
          <t>KP MALANG RT 5 RW 6</t>
        </is>
      </c>
      <c r="G19" s="105" t="n"/>
      <c r="H19" s="105" t="n"/>
      <c r="I19" s="105" t="n"/>
      <c r="J19" s="105" t="inlineStr">
        <is>
          <t>LOLOS</t>
        </is>
      </c>
      <c r="K19" s="105" t="n"/>
      <c r="L19" s="109" t="n"/>
      <c r="M19" s="111" t="n">
        <v>-7.08145216</v>
      </c>
      <c r="N19" s="111" t="n">
        <v>107.79557977</v>
      </c>
      <c r="O19" s="96" t="n"/>
      <c r="P19" s="94" t="n"/>
      <c r="Q19" s="97" t="n"/>
      <c r="R19" s="41" t="n"/>
      <c r="S19" s="41" t="inlineStr">
        <is>
          <t>LOLOS</t>
        </is>
      </c>
    </row>
    <row r="20" ht="20.25" customHeight="1">
      <c r="A20" s="105" t="n">
        <v>11</v>
      </c>
      <c r="B20" s="106" t="n"/>
      <c r="C20" s="107" t="inlineStr">
        <is>
          <t>ANAH</t>
        </is>
      </c>
      <c r="D20" s="106" t="n"/>
      <c r="E20" s="107" t="inlineStr">
        <is>
          <t>3204354304480004</t>
        </is>
      </c>
      <c r="F20" s="108" t="inlineStr">
        <is>
          <t>KP NENGENG RT 2 RW 4</t>
        </is>
      </c>
      <c r="G20" s="105" t="n"/>
      <c r="H20" s="105" t="n"/>
      <c r="I20" s="105" t="n"/>
      <c r="J20" s="105" t="inlineStr">
        <is>
          <t>LOLOS</t>
        </is>
      </c>
      <c r="K20" s="105" t="n"/>
      <c r="L20" s="109" t="n"/>
      <c r="M20" s="111" t="n">
        <v>-7.08973777</v>
      </c>
      <c r="N20" s="111" t="n">
        <v>107.78743568</v>
      </c>
      <c r="O20" s="93" t="n"/>
      <c r="P20" s="94" t="n"/>
      <c r="Q20" s="95" t="n"/>
      <c r="R20" s="41" t="n"/>
      <c r="S20" s="41" t="inlineStr">
        <is>
          <t>LOLOS</t>
        </is>
      </c>
    </row>
    <row r="21" ht="20.25" customFormat="1" customHeight="1" s="153">
      <c r="A21" s="112" t="n">
        <v>12</v>
      </c>
      <c r="B21" s="113" t="n"/>
      <c r="C21" s="114" t="inlineStr">
        <is>
          <t>WAHYU WIBISANA</t>
        </is>
      </c>
      <c r="D21" s="113" t="n"/>
      <c r="E21" s="114" t="inlineStr">
        <is>
          <t>3204353112600001</t>
        </is>
      </c>
      <c r="F21" s="115" t="inlineStr">
        <is>
          <t>LIMUS MANGGUNG RT 3 RW 8</t>
        </is>
      </c>
      <c r="G21" s="112" t="n"/>
      <c r="H21" s="112" t="n"/>
      <c r="I21" s="112" t="n"/>
      <c r="J21" s="112" t="inlineStr">
        <is>
          <t>LOLOS</t>
        </is>
      </c>
      <c r="K21" s="112" t="n"/>
      <c r="L21" s="116" t="n"/>
      <c r="M21" s="117" t="n">
        <v>-7.09607219</v>
      </c>
      <c r="N21" s="117" t="n">
        <v>107.79013286</v>
      </c>
      <c r="O21" s="93" t="n"/>
      <c r="P21" s="94" t="n"/>
      <c r="Q21" s="95" t="n"/>
      <c r="R21" s="152" t="n"/>
      <c r="S21" s="152" t="inlineStr">
        <is>
          <t>LOLOS</t>
        </is>
      </c>
    </row>
    <row r="22" ht="20.25" customFormat="1" customHeight="1" s="153">
      <c r="A22" s="112" t="n">
        <v>13</v>
      </c>
      <c r="B22" s="113" t="n"/>
      <c r="C22" s="114" t="inlineStr">
        <is>
          <t>ECIN</t>
        </is>
      </c>
      <c r="D22" s="113" t="n"/>
      <c r="E22" s="114" t="inlineStr">
        <is>
          <t>3204356010480002</t>
        </is>
      </c>
      <c r="F22" s="115" t="inlineStr">
        <is>
          <t>KP BARUNAI RT 00/04</t>
        </is>
      </c>
      <c r="G22" s="112" t="n"/>
      <c r="H22" s="112" t="n"/>
      <c r="I22" s="112" t="n"/>
      <c r="J22" s="112" t="inlineStr">
        <is>
          <t>LOLOS</t>
        </is>
      </c>
      <c r="K22" s="112" t="n"/>
      <c r="L22" s="116" t="n"/>
      <c r="M22" s="117" t="n">
        <v>-7.09196646</v>
      </c>
      <c r="N22" s="117" t="n">
        <v>107.78616176</v>
      </c>
      <c r="O22" s="93" t="n"/>
      <c r="P22" s="94" t="n"/>
      <c r="Q22" s="95" t="n"/>
      <c r="R22" s="152" t="n"/>
      <c r="S22" s="152" t="inlineStr">
        <is>
          <t>LOLOS</t>
        </is>
      </c>
    </row>
    <row r="23" ht="20.25" customHeight="1">
      <c r="A23" s="112" t="n">
        <v>14</v>
      </c>
      <c r="B23" s="113" t="n"/>
      <c r="C23" s="114" t="inlineStr">
        <is>
          <t>EKUR</t>
        </is>
      </c>
      <c r="D23" s="113" t="n"/>
      <c r="E23" s="114" t="inlineStr">
        <is>
          <t>3204354903820003</t>
        </is>
      </c>
      <c r="F23" s="115" t="inlineStr">
        <is>
          <t>KP. Loa RT 003 RW 010</t>
        </is>
      </c>
      <c r="G23" s="112" t="n"/>
      <c r="H23" s="112" t="n"/>
      <c r="I23" s="112" t="n"/>
      <c r="J23" s="112" t="inlineStr">
        <is>
          <t>LOLOS</t>
        </is>
      </c>
      <c r="K23" s="112" t="n"/>
      <c r="L23" s="116" t="n"/>
      <c r="M23" s="117" t="n">
        <v>-7.07493235</v>
      </c>
      <c r="N23" s="117" t="n">
        <v>107.78669428</v>
      </c>
      <c r="O23" s="93" t="n"/>
      <c r="P23" s="94" t="n"/>
      <c r="Q23" s="95" t="n"/>
      <c r="R23" s="41" t="n"/>
      <c r="S23" s="41" t="inlineStr">
        <is>
          <t>LOLOS</t>
        </is>
      </c>
    </row>
    <row r="24" ht="20.25" customHeight="1">
      <c r="A24" s="112" t="n">
        <v>15</v>
      </c>
      <c r="B24" s="113" t="n"/>
      <c r="C24" s="114" t="inlineStr">
        <is>
          <t>CARMA DEDI</t>
        </is>
      </c>
      <c r="D24" s="113" t="n"/>
      <c r="E24" s="114" t="inlineStr">
        <is>
          <t>3204351207600004</t>
        </is>
      </c>
      <c r="F24" s="115" t="inlineStr">
        <is>
          <t>KP. CIDADAP RT 004 RW 005</t>
        </is>
      </c>
      <c r="G24" s="112" t="n"/>
      <c r="H24" s="112" t="n"/>
      <c r="I24" s="112" t="n"/>
      <c r="J24" s="112" t="inlineStr">
        <is>
          <t>LOLOS</t>
        </is>
      </c>
      <c r="K24" s="112" t="n"/>
      <c r="L24" s="116" t="n"/>
      <c r="M24" s="166" t="n">
        <v>-7.08219048</v>
      </c>
      <c r="N24" s="166" t="n">
        <v>107.78767877</v>
      </c>
      <c r="O24" s="93" t="n"/>
      <c r="P24" s="94" t="n"/>
      <c r="Q24" s="95" t="n"/>
      <c r="R24" s="41" t="n"/>
      <c r="S24" s="41" t="inlineStr">
        <is>
          <t>LOLOS</t>
        </is>
      </c>
    </row>
    <row r="25" ht="20.25" customHeight="1">
      <c r="A25" s="112" t="n">
        <v>16</v>
      </c>
      <c r="B25" s="113" t="n"/>
      <c r="C25" s="114" t="inlineStr">
        <is>
          <t>UJANG JUJUN</t>
        </is>
      </c>
      <c r="D25" s="113" t="n"/>
      <c r="E25" s="114" t="inlineStr">
        <is>
          <t>3204350204580001</t>
        </is>
      </c>
      <c r="F25" s="115" t="inlineStr">
        <is>
          <t>KP. Loa RT 003 RW 002</t>
        </is>
      </c>
      <c r="G25" s="112" t="n"/>
      <c r="H25" s="112" t="n"/>
      <c r="I25" s="112" t="n"/>
      <c r="J25" s="112" t="inlineStr">
        <is>
          <t>LOLOS</t>
        </is>
      </c>
      <c r="K25" s="112" t="n"/>
      <c r="L25" s="116" t="n"/>
      <c r="M25" s="117" t="n">
        <v>-7.07355993</v>
      </c>
      <c r="N25" s="166" t="n">
        <v>107.78683808</v>
      </c>
      <c r="O25" s="93" t="n"/>
      <c r="P25" s="94" t="n"/>
      <c r="Q25" s="95" t="n"/>
      <c r="R25" s="41" t="n"/>
      <c r="S25" s="41" t="inlineStr">
        <is>
          <t>LOLOS</t>
        </is>
      </c>
    </row>
    <row r="26" ht="20.25" customHeight="1">
      <c r="A26" s="112" t="n">
        <v>17</v>
      </c>
      <c r="B26" s="113" t="n"/>
      <c r="C26" s="114" t="inlineStr">
        <is>
          <t>UJANG PARMAN</t>
        </is>
      </c>
      <c r="D26" s="113" t="n"/>
      <c r="E26" s="114" t="inlineStr">
        <is>
          <t>3204351205570001</t>
        </is>
      </c>
      <c r="F26" s="115" t="inlineStr">
        <is>
          <t>KP. Lengo RT 004 RW 001</t>
        </is>
      </c>
      <c r="G26" s="112" t="n"/>
      <c r="H26" s="112" t="n"/>
      <c r="I26" s="112" t="n"/>
      <c r="J26" s="112" t="inlineStr">
        <is>
          <t>LOLOS</t>
        </is>
      </c>
      <c r="K26" s="112" t="n"/>
      <c r="L26" s="116" t="n"/>
      <c r="M26" s="117" t="n">
        <v>-7.0675</v>
      </c>
      <c r="N26" s="117" t="n">
        <v>107.7815</v>
      </c>
      <c r="O26" s="93" t="n"/>
      <c r="P26" s="94" t="n"/>
      <c r="Q26" s="95" t="n"/>
      <c r="R26" s="41" t="n"/>
      <c r="S26" s="41" t="inlineStr">
        <is>
          <t>LOLOS</t>
        </is>
      </c>
    </row>
    <row r="27" ht="20.25" customHeight="1">
      <c r="A27" s="112" t="n">
        <v>18</v>
      </c>
      <c r="B27" s="113" t="n"/>
      <c r="C27" s="114" t="inlineStr">
        <is>
          <t>ENDANG SARGA</t>
        </is>
      </c>
      <c r="D27" s="113" t="n"/>
      <c r="E27" s="114" t="inlineStr">
        <is>
          <t>3204350911550003</t>
        </is>
      </c>
      <c r="F27" s="115" t="inlineStr">
        <is>
          <t>KP.TIISDINGIN RT 2 RW 6</t>
        </is>
      </c>
      <c r="G27" s="112" t="n"/>
      <c r="H27" s="112" t="n"/>
      <c r="I27" s="112" t="n"/>
      <c r="J27" s="112" t="inlineStr">
        <is>
          <t>LOLOS</t>
        </is>
      </c>
      <c r="K27" s="112" t="n"/>
      <c r="L27" s="116" t="n"/>
      <c r="M27" s="117" t="n">
        <v>-7.07856038</v>
      </c>
      <c r="N27" s="117" t="n">
        <v>107.79085138</v>
      </c>
      <c r="O27" s="93" t="n"/>
      <c r="P27" s="94" t="n"/>
      <c r="Q27" s="95" t="n"/>
      <c r="R27" s="41" t="n"/>
      <c r="S27" s="41" t="inlineStr">
        <is>
          <t>LOLOS</t>
        </is>
      </c>
    </row>
    <row r="28" ht="20.25" customHeight="1">
      <c r="A28" s="112" t="n">
        <v>19</v>
      </c>
      <c r="B28" s="113" t="n"/>
      <c r="C28" s="114" t="inlineStr">
        <is>
          <t>ADANG</t>
        </is>
      </c>
      <c r="D28" s="113" t="n"/>
      <c r="E28" s="114" t="inlineStr">
        <is>
          <t>3204352905890001</t>
        </is>
      </c>
      <c r="F28" s="115" t="inlineStr">
        <is>
          <t>KP. CIDADAP RT 5 RW 5</t>
        </is>
      </c>
      <c r="G28" s="112" t="n"/>
      <c r="H28" s="112" t="n"/>
      <c r="I28" s="112" t="n"/>
      <c r="J28" s="112" t="inlineStr">
        <is>
          <t>LOLOS</t>
        </is>
      </c>
      <c r="K28" s="112" t="n"/>
      <c r="L28" s="116" t="n"/>
      <c r="M28" s="117" t="n">
        <v>-7.07272036</v>
      </c>
      <c r="N28" s="117" t="n">
        <v>107.78008687</v>
      </c>
      <c r="O28" s="93" t="n"/>
      <c r="P28" s="94" t="n"/>
      <c r="Q28" s="95" t="n"/>
      <c r="R28" s="41" t="n"/>
      <c r="S28" s="41" t="inlineStr">
        <is>
          <t>LOLOS</t>
        </is>
      </c>
    </row>
    <row r="29" ht="20.25" customHeight="1">
      <c r="A29" t="n">
        <v>20</v>
      </c>
      <c r="C29" t="inlineStr">
        <is>
          <t>DENI HERMANTO</t>
        </is>
      </c>
      <c r="F29" t="inlineStr">
        <is>
          <t>KP. Loa</t>
        </is>
      </c>
      <c r="J29" t="inlineStr">
        <is>
          <t>LOLOS</t>
        </is>
      </c>
      <c r="M29" t="n">
        <v>-7.06779708</v>
      </c>
      <c r="N29" t="n">
        <v>107.78490439</v>
      </c>
      <c r="S29" t="inlineStr">
        <is>
          <t>LOLOS</t>
        </is>
      </c>
    </row>
    <row r="30" ht="20.25" customHeight="1">
      <c r="P30" s="42" t="n"/>
      <c r="Q30" s="42" t="n"/>
      <c r="R30" s="41" t="n"/>
      <c r="S30" s="41" t="n"/>
    </row>
    <row r="31" ht="20.25" customHeight="1">
      <c r="K31" s="47" t="n"/>
      <c r="L31" s="256" t="inlineStr">
        <is>
          <t>Diketahui Oleh</t>
        </is>
      </c>
      <c r="O31" s="43" t="n"/>
      <c r="P31" s="42" t="n"/>
      <c r="Q31" s="42" t="n"/>
      <c r="R31" s="41" t="n"/>
      <c r="S31" s="41" t="n"/>
    </row>
    <row r="32" ht="20.25" customHeight="1">
      <c r="B32" s="44" t="n"/>
      <c r="K32" s="47" t="n"/>
      <c r="L32" s="256">
        <f>IF('II-4'!A5="Desa","Kepala Desa","Lurah")</f>
        <v/>
      </c>
      <c r="O32" s="43" t="n"/>
      <c r="P32" s="42" t="n"/>
      <c r="Q32" s="42" t="n"/>
      <c r="R32" s="41" t="n"/>
      <c r="S32" s="41" t="n"/>
    </row>
    <row r="33" ht="20.25" customHeight="1">
      <c r="K33" s="47" t="n"/>
      <c r="L33" s="256">
        <f>PROPER(Source!B4)</f>
        <v/>
      </c>
      <c r="O33" s="43" t="n"/>
      <c r="P33" s="42" t="n"/>
      <c r="Q33" s="42" t="n"/>
      <c r="R33" s="41" t="n"/>
      <c r="S33" s="41" t="n"/>
    </row>
    <row r="34" ht="20.25" customHeight="1">
      <c r="K34" s="47" t="n"/>
      <c r="L34" s="256" t="n"/>
      <c r="M34" s="256" t="n"/>
      <c r="N34" s="256" t="n"/>
      <c r="O34" s="43" t="n"/>
      <c r="P34" s="42" t="n"/>
      <c r="Q34" s="42" t="n"/>
      <c r="R34" s="41" t="n"/>
      <c r="S34" s="41" t="n"/>
    </row>
    <row r="35" ht="20.25" customHeight="1">
      <c r="L35" s="72" t="n"/>
      <c r="M35" s="73" t="n"/>
      <c r="N35" s="73" t="n"/>
      <c r="R35" s="41" t="n"/>
      <c r="S35" s="41" t="n"/>
    </row>
    <row r="36" ht="20.25" customHeight="1">
      <c r="L36" s="72" t="n"/>
      <c r="M36" s="73" t="n"/>
      <c r="N36" s="73" t="n"/>
      <c r="P36" s="45" t="n"/>
      <c r="Q36" s="45" t="n"/>
      <c r="R36" s="41" t="n"/>
      <c r="S36" s="41" t="n"/>
    </row>
    <row r="37" ht="20.25" customHeight="1">
      <c r="L37" s="72" t="n"/>
      <c r="R37" s="41" t="n"/>
      <c r="S37" s="41" t="n"/>
    </row>
    <row r="38" ht="20.25" customHeight="1">
      <c r="L38" s="254">
        <f>Source!B5</f>
        <v/>
      </c>
      <c r="R38" s="41" t="n"/>
      <c r="S38" s="41" t="n"/>
    </row>
    <row r="39" ht="20.25" customHeight="1">
      <c r="L39" s="253">
        <f>IF(Source!A4="Desa","","NIP. "&amp;Source!B6)</f>
        <v/>
      </c>
      <c r="R39" s="41" t="n"/>
      <c r="S39" s="41" t="n"/>
    </row>
    <row r="40" ht="20.25" customHeight="1">
      <c r="R40" s="41" t="n"/>
      <c r="S40" s="41" t="n"/>
    </row>
    <row r="41" ht="20.25" customHeight="1">
      <c r="R41" s="41" t="n"/>
      <c r="S41" s="41" t="n"/>
    </row>
    <row r="42" ht="20.25" customHeight="1">
      <c r="R42" s="41" t="n"/>
      <c r="S42" s="41" t="n"/>
    </row>
    <row r="43" ht="20.25" customHeight="1">
      <c r="R43" s="41" t="n"/>
      <c r="S43" s="41" t="n"/>
    </row>
    <row r="44">
      <c r="R44" s="41" t="n"/>
      <c r="S44" s="41" t="n"/>
    </row>
    <row r="47" ht="20.25" customHeight="1"/>
    <row r="48" ht="20.25" customHeight="1">
      <c r="P48" s="31" t="n"/>
      <c r="Q48" s="31" t="n"/>
    </row>
    <row r="49">
      <c r="P49" s="31" t="n"/>
      <c r="Q49" s="31" t="n"/>
    </row>
    <row r="53" ht="20.25" customHeight="1"/>
    <row r="54">
      <c r="P54" s="180" t="n"/>
      <c r="Q54" s="180" t="n"/>
    </row>
    <row r="61" ht="20.25" customHeight="1"/>
    <row r="62">
      <c r="P62" s="6" t="n"/>
      <c r="Q62" s="6" t="n"/>
    </row>
  </sheetData>
  <mergeCells count="24">
    <mergeCell ref="E8:E9"/>
    <mergeCell ref="G8:G9"/>
    <mergeCell ref="Q8:Q9"/>
    <mergeCell ref="L30:N30"/>
    <mergeCell ref="B8:B9"/>
    <mergeCell ref="L38:N38"/>
    <mergeCell ref="F8:F9"/>
    <mergeCell ref="P8:P9"/>
    <mergeCell ref="L31:N31"/>
    <mergeCell ref="A3:N3"/>
    <mergeCell ref="A8:A9"/>
    <mergeCell ref="C8:C9"/>
    <mergeCell ref="I8:I9"/>
    <mergeCell ref="K8:L8"/>
    <mergeCell ref="O8:O9"/>
    <mergeCell ref="D8:D9"/>
    <mergeCell ref="A5:N5"/>
    <mergeCell ref="M8:N8"/>
    <mergeCell ref="L32:N32"/>
    <mergeCell ref="O6:Q6"/>
    <mergeCell ref="H8:H9"/>
    <mergeCell ref="A4:N4"/>
    <mergeCell ref="J8:J9"/>
    <mergeCell ref="L37:N37"/>
  </mergeCells>
  <dataValidations count="1">
    <dataValidation sqref="J10:J28" showDropDown="0" showInputMessage="1" showErrorMessage="1" allowBlank="1" type="list">
      <formula1>$S$10:$S$11</formula1>
    </dataValidation>
  </dataValidations>
  <pageMargins left="0.57" right="0.2755905511811024" top="0.1968503937007874" bottom="0.7480314960629921" header="0.1574803149606299" footer="0.3149606299212598"/>
  <pageSetup orientation="landscape" paperSize="9" scale="51" horizontalDpi="429496729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view="pageBreakPreview" topLeftCell="H1" zoomScale="58" zoomScaleNormal="58" zoomScaleSheetLayoutView="58" workbookViewId="0">
      <selection activeCell="O11" sqref="O11:P11"/>
    </sheetView>
  </sheetViews>
  <sheetFormatPr baseColWidth="8" defaultColWidth="10.85546875" defaultRowHeight="15.75"/>
  <cols>
    <col width="4.42578125" bestFit="1" customWidth="1" style="59" min="1" max="1"/>
    <col width="19.7109375" customWidth="1" style="59" min="2" max="2"/>
    <col width="12.42578125" customWidth="1" style="59" min="3" max="3"/>
    <col width="22.140625" customWidth="1" style="59" min="4" max="4"/>
    <col width="45.140625" customWidth="1" style="60" min="5" max="5"/>
    <col width="18.140625" customWidth="1" style="59" min="6" max="6"/>
    <col width="23.5703125" customWidth="1" style="59" min="7" max="7"/>
    <col width="24.140625" customWidth="1" style="59" min="8" max="8"/>
    <col width="11.5703125" customWidth="1" style="59" min="9" max="9"/>
    <col width="24.28515625" customWidth="1" style="59" min="10" max="10"/>
    <col width="36.42578125" customWidth="1" style="60" min="11" max="11"/>
    <col width="16.140625" customWidth="1" style="59" min="12" max="12"/>
    <col width="10.28515625" customWidth="1" style="59" min="13" max="13"/>
    <col width="13.85546875" customWidth="1" style="59" min="14" max="14"/>
    <col width="11.5703125" customWidth="1" style="59" min="15" max="15"/>
    <col width="14" customWidth="1" style="59" min="16" max="16"/>
    <col width="29.7109375" customWidth="1" style="59" min="17" max="17"/>
    <col width="28.7109375" bestFit="1" customWidth="1" style="70" min="18" max="18"/>
    <col width="22" bestFit="1" customWidth="1" style="70" min="19" max="19"/>
    <col width="22.42578125" customWidth="1" style="59" min="20" max="20"/>
    <col width="10.85546875" customWidth="1" style="59" min="21" max="16384"/>
  </cols>
  <sheetData>
    <row r="1">
      <c r="Q1" s="61" t="inlineStr">
        <is>
          <t>Format II-5</t>
        </is>
      </c>
      <c r="R1" s="245" t="n"/>
      <c r="S1" s="245" t="n"/>
    </row>
    <row r="2">
      <c r="R2" s="245" t="n"/>
      <c r="S2" s="245" t="n"/>
    </row>
    <row r="3">
      <c r="A3" s="269" t="inlineStr">
        <is>
          <t xml:space="preserve">DAFTAR CALON PENERIMA BANTUAN PENGGANTI KEGIATAN BANTUAN </t>
        </is>
      </c>
      <c r="R3" s="63" t="n"/>
      <c r="S3" s="63" t="n"/>
    </row>
    <row r="4">
      <c r="A4" s="270" t="inlineStr">
        <is>
          <t>STIMULAN PERUMAHAN SWADAYA TAHUN 2025</t>
        </is>
      </c>
      <c r="R4" s="63" t="n"/>
      <c r="S4" s="63" t="n"/>
    </row>
    <row r="5">
      <c r="A5" s="267" t="inlineStr">
        <is>
          <t>PROVINSI JAWA BARAT</t>
        </is>
      </c>
      <c r="R5" s="63" t="n"/>
      <c r="S5" s="63" t="n"/>
    </row>
    <row r="6">
      <c r="R6" s="244">
        <f>'II-5a'!O6</f>
        <v/>
      </c>
    </row>
    <row r="8" ht="15.75" customHeight="1">
      <c r="A8" s="265" t="inlineStr">
        <is>
          <t>NO.</t>
        </is>
      </c>
      <c r="B8" s="265" t="inlineStr">
        <is>
          <t>SEBELUM</t>
        </is>
      </c>
      <c r="C8" s="275" t="n"/>
      <c r="D8" s="275" t="n"/>
      <c r="E8" s="275" t="n"/>
      <c r="F8" s="275" t="n"/>
      <c r="G8" s="276" t="n"/>
      <c r="H8" s="265" t="inlineStr">
        <is>
          <t>SESUDAH</t>
        </is>
      </c>
      <c r="I8" s="275" t="n"/>
      <c r="J8" s="275" t="n"/>
      <c r="K8" s="275" t="n"/>
      <c r="L8" s="276" t="n"/>
      <c r="M8" s="265" t="inlineStr">
        <is>
          <t>INSTRUKSI VERIFIKASI</t>
        </is>
      </c>
      <c r="N8" s="276" t="n"/>
      <c r="O8" s="265" t="inlineStr">
        <is>
          <t>Titik Koordinat</t>
        </is>
      </c>
      <c r="P8" s="276" t="n"/>
      <c r="Q8" s="265" t="inlineStr">
        <is>
          <t>KETERANGAN</t>
        </is>
      </c>
      <c r="R8" s="104" t="inlineStr">
        <is>
          <t>TEMPAT &amp; TANGGAL LAHIR CPB</t>
        </is>
      </c>
      <c r="S8" s="104" t="inlineStr">
        <is>
          <t>NAMA IBU KANDUNG</t>
        </is>
      </c>
      <c r="T8" s="104" t="inlineStr">
        <is>
          <t>STATUS PERNIKAHAN *Sesuai dengan KTP</t>
        </is>
      </c>
    </row>
    <row r="9" ht="47.25" customHeight="1">
      <c r="A9" s="279" t="n"/>
      <c r="B9" s="65" t="inlineStr">
        <is>
          <t>NAMA</t>
        </is>
      </c>
      <c r="C9" s="65" t="inlineStr">
        <is>
          <t>JENIS KELAMIN (L/P)</t>
        </is>
      </c>
      <c r="D9" s="65" t="inlineStr">
        <is>
          <t>NIK</t>
        </is>
      </c>
      <c r="E9" s="65" t="inlineStr">
        <is>
          <t>ALAMAT TEMPAT TINGGAL</t>
        </is>
      </c>
      <c r="F9" s="65">
        <f>UPPER(Source!A4)</f>
        <v/>
      </c>
      <c r="G9" s="65" t="inlineStr">
        <is>
          <t>ALASAN TIDAK LOLOS *)</t>
        </is>
      </c>
      <c r="H9" s="65" t="inlineStr">
        <is>
          <t>NAMA</t>
        </is>
      </c>
      <c r="I9" s="65" t="inlineStr">
        <is>
          <t>JENIS KELAMIN (L/P)</t>
        </is>
      </c>
      <c r="J9" s="65" t="inlineStr">
        <is>
          <t>NIK</t>
        </is>
      </c>
      <c r="K9" s="65" t="inlineStr">
        <is>
          <t>ALAMAT TEMPAT TINGGAL</t>
        </is>
      </c>
      <c r="L9" s="65">
        <f>UPPER(Source!A4)</f>
        <v/>
      </c>
      <c r="M9" s="65" t="inlineStr">
        <is>
          <t>TAHAP</t>
        </is>
      </c>
      <c r="N9" s="65" t="inlineStr">
        <is>
          <t>TANGGAL</t>
        </is>
      </c>
      <c r="O9" s="66" t="inlineStr">
        <is>
          <t>S</t>
        </is>
      </c>
      <c r="P9" s="66" t="inlineStr">
        <is>
          <t>E</t>
        </is>
      </c>
      <c r="Q9" s="279" t="n"/>
      <c r="R9" s="279" t="n"/>
      <c r="S9" s="279" t="n"/>
      <c r="T9" s="279" t="n"/>
    </row>
    <row r="10" ht="30.75" customFormat="1" customHeight="1" s="79">
      <c r="A10" s="118" t="n">
        <v>1</v>
      </c>
      <c r="B10" s="154" t="inlineStr">
        <is>
          <t>ENDANG</t>
        </is>
      </c>
      <c r="C10" s="119" t="n"/>
      <c r="D10" s="155" t="inlineStr">
        <is>
          <t>3204352504720003</t>
        </is>
      </c>
      <c r="E10" s="154" t="inlineStr">
        <is>
          <t>KP LOA RT 3 RW 10</t>
        </is>
      </c>
      <c r="F10" s="120" t="n"/>
      <c r="G10" s="156" t="inlineStr">
        <is>
          <t>3.  Rumah dalam kondisi layak/rusak ringan;</t>
        </is>
      </c>
      <c r="H10" s="159" t="n"/>
      <c r="I10" s="113" t="n"/>
      <c r="J10" s="160" t="n"/>
      <c r="K10" s="159" t="n"/>
      <c r="L10" s="121" t="n"/>
      <c r="M10" s="121" t="n"/>
      <c r="N10" s="116" t="n"/>
      <c r="O10" s="117" t="n">
        <v>-7.07448163</v>
      </c>
      <c r="P10" s="117" t="n">
        <v>107.78844668</v>
      </c>
      <c r="Q10" s="122" t="n"/>
      <c r="R10" s="93" t="n"/>
      <c r="S10" s="94" t="n"/>
      <c r="T10" s="95" t="n"/>
    </row>
    <row r="11" ht="30.75" customFormat="1" customHeight="1" s="79">
      <c r="A11" s="118" t="n">
        <v>2</v>
      </c>
      <c r="B11" s="157" t="inlineStr">
        <is>
          <t>LALAN</t>
        </is>
      </c>
      <c r="C11" s="119" t="n"/>
      <c r="D11" s="155" t="inlineStr">
        <is>
          <t>3204364406880002</t>
        </is>
      </c>
      <c r="E11" s="158" t="inlineStr">
        <is>
          <t>KP CANAR RT 1 RW 12</t>
        </is>
      </c>
      <c r="F11" s="120" t="n"/>
      <c r="G11" s="156" t="inlineStr">
        <is>
          <t>3.  Rumah dalam kondisi layak/rusak ringan;</t>
        </is>
      </c>
      <c r="H11" s="159" t="n"/>
      <c r="I11" s="113" t="n"/>
      <c r="J11" s="160" t="n"/>
      <c r="K11" s="159" t="n"/>
      <c r="L11" s="121" t="n"/>
      <c r="M11" s="121" t="n"/>
      <c r="N11" s="116" t="n"/>
      <c r="O11" s="117" t="n">
        <v>-7.08472292</v>
      </c>
      <c r="P11" s="117" t="n">
        <v>107.79085082</v>
      </c>
      <c r="Q11" s="122" t="n"/>
      <c r="R11" s="93" t="n"/>
      <c r="S11" s="94" t="n"/>
      <c r="T11" s="95" t="n"/>
    </row>
    <row r="12" ht="30.75" customFormat="1" customHeight="1" s="79">
      <c r="A12" s="118" t="n">
        <v>3</v>
      </c>
      <c r="B12" s="157" t="inlineStr">
        <is>
          <t>U.ODIN</t>
        </is>
      </c>
      <c r="C12" s="119" t="n"/>
      <c r="D12" s="155" t="inlineStr">
        <is>
          <t>3204351108770005</t>
        </is>
      </c>
      <c r="E12" s="157" t="inlineStr">
        <is>
          <t>KP MEKAR SARI RT 3 RW 9</t>
        </is>
      </c>
      <c r="F12" s="120" t="n"/>
      <c r="G12" s="156" t="inlineStr">
        <is>
          <t>3.  Rumah dalam kondisi layak/rusak ringan;</t>
        </is>
      </c>
      <c r="H12" s="161" t="n"/>
      <c r="I12" s="113" t="n"/>
      <c r="J12" s="162" t="n"/>
      <c r="K12" s="163" t="n"/>
      <c r="L12" s="121" t="n"/>
      <c r="M12" s="121" t="n"/>
      <c r="N12" s="116" t="n"/>
      <c r="O12" s="117" t="n">
        <v>-7.07406425</v>
      </c>
      <c r="P12" s="117" t="n">
        <v>107.79138696</v>
      </c>
      <c r="Q12" s="122" t="n"/>
      <c r="R12" s="93" t="n"/>
      <c r="S12" s="94" t="n"/>
      <c r="T12" s="95" t="n"/>
    </row>
    <row r="13" ht="30.75" customFormat="1" customHeight="1" s="79">
      <c r="A13" s="118" t="n">
        <v>4</v>
      </c>
      <c r="B13" s="157" t="inlineStr">
        <is>
          <t>TOTO TARMALA</t>
        </is>
      </c>
      <c r="C13" s="119" t="n"/>
      <c r="D13" s="155" t="inlineStr">
        <is>
          <t>3204350101920001</t>
        </is>
      </c>
      <c r="E13" s="157" t="inlineStr">
        <is>
          <t>KP LOA RT 4 RW 2</t>
        </is>
      </c>
      <c r="F13" s="120" t="n"/>
      <c r="G13" s="156" t="inlineStr">
        <is>
          <t>3.  Rumah dalam kondisi layak/rusak ringan;</t>
        </is>
      </c>
      <c r="H13" s="164" t="n"/>
      <c r="I13" s="113" t="n"/>
      <c r="J13" s="165" t="n"/>
      <c r="K13" s="164" t="n"/>
      <c r="L13" s="121" t="n"/>
      <c r="M13" s="121" t="n"/>
      <c r="N13" s="116" t="n"/>
      <c r="O13" s="117" t="n">
        <v>-7.0740836</v>
      </c>
      <c r="P13" s="117" t="n">
        <v>107.788137422</v>
      </c>
      <c r="Q13" s="122" t="n"/>
      <c r="R13" s="93" t="n"/>
      <c r="S13" s="94" t="n"/>
      <c r="T13" s="95" t="n"/>
    </row>
    <row r="14" ht="30.75" customFormat="1" customHeight="1" s="79">
      <c r="A14" s="118" t="n">
        <v>5</v>
      </c>
      <c r="B14" s="157" t="inlineStr">
        <is>
          <t>UJANG TIMAN</t>
        </is>
      </c>
      <c r="C14" s="119" t="n"/>
      <c r="D14" s="155" t="inlineStr">
        <is>
          <t>3204351508760018</t>
        </is>
      </c>
      <c r="E14" s="157" t="inlineStr">
        <is>
          <t>KP LOA RT 4 RW 2</t>
        </is>
      </c>
      <c r="F14" s="120" t="n"/>
      <c r="G14" s="156" t="inlineStr">
        <is>
          <t>3.  Rumah dalam kondisi layak/rusak ringan;</t>
        </is>
      </c>
      <c r="H14" s="164" t="n"/>
      <c r="I14" s="113" t="n"/>
      <c r="J14" s="162" t="n"/>
      <c r="K14" s="164" t="n"/>
      <c r="L14" s="121" t="n"/>
      <c r="M14" s="121" t="n"/>
      <c r="N14" s="116" t="n"/>
      <c r="O14" s="117" t="n">
        <v>-7.07393784</v>
      </c>
      <c r="P14" s="117" t="n">
        <v>107.78834522</v>
      </c>
      <c r="Q14" s="122" t="n"/>
      <c r="R14" s="93" t="n"/>
      <c r="S14" s="94" t="n"/>
      <c r="T14" s="95" t="n"/>
    </row>
    <row r="15" ht="30.75" customFormat="1" customHeight="1" s="79">
      <c r="A15" s="118" t="n">
        <v>6</v>
      </c>
      <c r="B15" s="157" t="inlineStr">
        <is>
          <t>EMEH</t>
        </is>
      </c>
      <c r="C15" s="119" t="n"/>
      <c r="D15" s="155" t="inlineStr">
        <is>
          <t>3204354107590197</t>
        </is>
      </c>
      <c r="E15" s="154" t="inlineStr">
        <is>
          <t>MALINGPING RT 4 RW 8</t>
        </is>
      </c>
      <c r="F15" s="120" t="n"/>
      <c r="G15" s="156" t="inlineStr">
        <is>
          <t>3.  Rumah dalam kondisi layak/rusak ringan;</t>
        </is>
      </c>
      <c r="H15" s="164" t="n"/>
      <c r="I15" s="113" t="n"/>
      <c r="J15" s="162" t="n"/>
      <c r="K15" s="164" t="n"/>
      <c r="L15" s="121" t="n"/>
      <c r="M15" s="121" t="n"/>
      <c r="N15" s="116" t="n"/>
      <c r="O15" s="117" t="n">
        <v>-7.096682</v>
      </c>
      <c r="P15" s="117" t="n">
        <v>107.789848</v>
      </c>
      <c r="Q15" s="122" t="n"/>
      <c r="R15" s="93" t="n"/>
      <c r="S15" s="94" t="n"/>
      <c r="T15" s="95" t="n"/>
    </row>
    <row r="16" ht="30.75" customFormat="1" customHeight="1" s="79">
      <c r="A16" s="118" t="n">
        <v>7</v>
      </c>
      <c r="B16" s="157" t="inlineStr">
        <is>
          <t>TATAN RUSTANDI</t>
        </is>
      </c>
      <c r="C16" s="119" t="n"/>
      <c r="D16" s="155" t="inlineStr">
        <is>
          <t>3203151003900004</t>
        </is>
      </c>
      <c r="E16" s="157" t="inlineStr">
        <is>
          <t>KP LOA RT 4 RW 2</t>
        </is>
      </c>
      <c r="F16" s="120" t="n"/>
      <c r="G16" s="156" t="inlineStr">
        <is>
          <t>3.  Rumah dalam kondisi layak/rusak ringan;</t>
        </is>
      </c>
      <c r="H16" s="164" t="n"/>
      <c r="I16" s="113" t="n"/>
      <c r="J16" s="162" t="n"/>
      <c r="K16" s="164" t="n"/>
      <c r="L16" s="121" t="n"/>
      <c r="M16" s="121" t="n"/>
      <c r="N16" s="116" t="n"/>
      <c r="O16" s="117" t="n">
        <v>-7.07424439</v>
      </c>
      <c r="P16" s="117" t="n">
        <v>107.78845114</v>
      </c>
      <c r="Q16" s="122" t="n"/>
      <c r="R16" s="93" t="n"/>
      <c r="S16" s="94" t="n"/>
      <c r="T16" s="95" t="n"/>
    </row>
    <row r="17" ht="30.75" customFormat="1" customHeight="1" s="79">
      <c r="A17" s="118" t="n">
        <v>8</v>
      </c>
      <c r="B17" s="157" t="inlineStr">
        <is>
          <t>HADI</t>
        </is>
      </c>
      <c r="C17" s="119" t="n"/>
      <c r="D17" s="155" t="inlineStr">
        <is>
          <t>3204352502820008</t>
        </is>
      </c>
      <c r="E17" s="157" t="inlineStr">
        <is>
          <t>CIDADAP RT 5 RW 5</t>
        </is>
      </c>
      <c r="F17" s="120" t="n"/>
      <c r="G17" s="156" t="inlineStr">
        <is>
          <t>3.  Rumah dalam kondisi layak/rusak ringan;</t>
        </is>
      </c>
      <c r="H17" s="164" t="n"/>
      <c r="I17" s="113" t="n"/>
      <c r="J17" s="162" t="n"/>
      <c r="K17" s="164" t="n"/>
      <c r="L17" s="121" t="n"/>
      <c r="M17" s="121" t="n"/>
      <c r="N17" s="116" t="n"/>
      <c r="O17" s="117" t="n">
        <v>-7.08478348</v>
      </c>
      <c r="P17" s="117" t="n">
        <v>107.79096854</v>
      </c>
      <c r="Q17" s="122" t="n"/>
      <c r="R17" s="93" t="n"/>
      <c r="S17" s="94" t="n"/>
      <c r="T17" s="95" t="n"/>
    </row>
    <row r="18">
      <c r="A18" t="n">
        <v>9</v>
      </c>
      <c r="B18" t="inlineStr">
        <is>
          <t>ILPAN SETIA MULYA</t>
        </is>
      </c>
      <c r="D18" t="inlineStr">
        <is>
          <t>3204332811900005</t>
        </is>
      </c>
      <c r="E18" t="inlineStr">
        <is>
          <t>KP. TIISDINGIN RT 1 RW 6</t>
        </is>
      </c>
      <c r="G18" t="inlineStr">
        <is>
          <t>3.  Rumah dalam kondisi layak/rusak ringan;</t>
        </is>
      </c>
      <c r="O18" t="n">
        <v>-7.077608</v>
      </c>
      <c r="P18" t="n">
        <v>107.791801</v>
      </c>
    </row>
    <row r="19">
      <c r="A19" t="n">
        <v>10</v>
      </c>
      <c r="B19" t="inlineStr">
        <is>
          <t>SAEPULOH</t>
        </is>
      </c>
      <c r="D19" t="inlineStr">
        <is>
          <t>3204351406940003</t>
        </is>
      </c>
      <c r="E19" t="inlineStr">
        <is>
          <t>KP. LOA RT 3 RW 10</t>
        </is>
      </c>
      <c r="G19" t="inlineStr">
        <is>
          <t>3.  Rumah dalam kondisi layak/rusak ringan;</t>
        </is>
      </c>
      <c r="O19" t="n">
        <v>-7.07462609</v>
      </c>
      <c r="P19" t="n">
        <v>107.78839402</v>
      </c>
    </row>
    <row r="20">
      <c r="A20" t="n">
        <v>11</v>
      </c>
      <c r="B20" t="inlineStr">
        <is>
          <t>EHA</t>
        </is>
      </c>
      <c r="D20" t="inlineStr">
        <is>
          <t>3204355002550004</t>
        </is>
      </c>
      <c r="E20" t="inlineStr">
        <is>
          <t>KP. LOA RT 3 RW 10</t>
        </is>
      </c>
      <c r="G20" t="inlineStr">
        <is>
          <t>3.  Rumah dalam kondisi layak/rusak ringan;</t>
        </is>
      </c>
      <c r="O20" t="n">
        <v>-7.07517481</v>
      </c>
      <c r="P20" t="n">
        <v>107.78658577</v>
      </c>
    </row>
    <row r="21">
      <c r="A21" t="n">
        <v>12</v>
      </c>
      <c r="B21" t="inlineStr">
        <is>
          <t>WARSA</t>
        </is>
      </c>
      <c r="D21" t="inlineStr">
        <is>
          <t>3204351002711001</t>
        </is>
      </c>
      <c r="E21" t="inlineStr">
        <is>
          <t>KP. BUKATANAH RT 2 RW 3</t>
        </is>
      </c>
      <c r="G21" t="inlineStr">
        <is>
          <t>9.  Lainnya (Tidak ingin melanjutkan).</t>
        </is>
      </c>
      <c r="O21" t="n">
        <v>-7.0857243</v>
      </c>
      <c r="P21" t="n">
        <v>107.79673617</v>
      </c>
    </row>
    <row r="22">
      <c r="R22" s="304" t="n"/>
      <c r="S22" s="304" t="n"/>
    </row>
    <row r="24">
      <c r="B24" s="123" t="inlineStr">
        <is>
          <t>Catatan:</t>
        </is>
      </c>
      <c r="R24" s="242" t="n"/>
      <c r="S24" s="242" t="n"/>
    </row>
    <row r="25">
      <c r="B25" s="123" t="inlineStr">
        <is>
          <t>*) Alasan Tidak Lolos, diisi dengan Angka (1-9) sebagai berikut:</t>
        </is>
      </c>
    </row>
    <row r="26">
      <c r="B26" s="124" t="inlineStr">
        <is>
          <t>1.   Belum memiliki KK sendiri;</t>
        </is>
      </c>
    </row>
    <row r="27">
      <c r="B27" s="124" t="inlineStr">
        <is>
          <t>2.  Tanah bersengketa/tanpa bukti sah kepemilikan/penguasaan lahan/ilegal;</t>
        </is>
      </c>
    </row>
    <row r="28">
      <c r="B28" s="124" t="inlineStr">
        <is>
          <t>3.  Rumah dalam kondisi layak/rusak ringan;</t>
        </is>
      </c>
    </row>
    <row r="29">
      <c r="B29" s="124" t="inlineStr">
        <is>
          <t>4.  Memiliki rumah lebih dari 1;</t>
        </is>
      </c>
    </row>
    <row r="30">
      <c r="B30" s="124" t="inlineStr">
        <is>
          <t>5.  Pernah memperoleh BSPS dalam kurun waktu 10 tahun;</t>
        </is>
      </c>
    </row>
    <row r="31">
      <c r="B31" s="124" t="inlineStr">
        <is>
          <t>6.  Penghasilan lebih dari ½  UMP/UMK  (BSPS  Sejahtera);  atau  Penghasilan  lebih dari UMP/UMK (BSPS);</t>
        </is>
      </c>
    </row>
    <row r="32">
      <c r="B32" s="124" t="inlineStr">
        <is>
          <t>7.  Memilih untuk dibantu dengan sumber anggaran lain;</t>
        </is>
      </c>
    </row>
    <row r="33">
      <c r="B33" s="124" t="inlineStr">
        <is>
          <t>8.  Menghuni kurang dari 3 tahun;</t>
        </is>
      </c>
    </row>
    <row r="34">
      <c r="B34" s="124" t="inlineStr">
        <is>
          <t>9.  Lainnya (diisi pada kolom keterangan).</t>
        </is>
      </c>
    </row>
    <row r="35">
      <c r="O35" s="268" t="inlineStr">
        <is>
          <t>Diketahui Oleh</t>
        </is>
      </c>
    </row>
    <row r="36">
      <c r="O36" s="268">
        <f>IF('II-4'!A5="Desa","Kepala Desa","Lurah")</f>
        <v/>
      </c>
      <c r="R36" s="245" t="n"/>
      <c r="S36" s="245" t="n"/>
    </row>
    <row r="37">
      <c r="O37" s="268">
        <f>PROPER(Source!B4)</f>
        <v/>
      </c>
      <c r="R37" s="245" t="n"/>
      <c r="S37" s="245" t="n"/>
    </row>
    <row r="38">
      <c r="O38" s="76" t="n"/>
      <c r="P38" s="77" t="n"/>
      <c r="Q38" s="77" t="n"/>
    </row>
    <row r="39">
      <c r="P39" s="78" t="n"/>
      <c r="Q39" s="78" t="n"/>
    </row>
    <row r="40"/>
    <row r="41"/>
    <row r="42">
      <c r="R42" s="74" t="n"/>
      <c r="S42" s="74" t="n"/>
    </row>
    <row r="44">
      <c r="O44" s="266">
        <f>Source!B5</f>
        <v/>
      </c>
    </row>
    <row r="45">
      <c r="O45" s="267">
        <f>IF(Source!A4="Desa","","NIP. "&amp;Source!B6)</f>
        <v/>
      </c>
    </row>
    <row r="50">
      <c r="R50" s="75" t="n"/>
      <c r="S50" s="75" t="n"/>
    </row>
  </sheetData>
  <mergeCells count="18">
    <mergeCell ref="R6:T6"/>
    <mergeCell ref="A8:A9"/>
    <mergeCell ref="O33:Q33"/>
    <mergeCell ref="A3:Q3"/>
    <mergeCell ref="O40:Q40"/>
    <mergeCell ref="O41:Q41"/>
    <mergeCell ref="O32:Q32"/>
    <mergeCell ref="A5:Q5"/>
    <mergeCell ref="A4:Q4"/>
    <mergeCell ref="Q8:Q9"/>
    <mergeCell ref="B8:G8"/>
    <mergeCell ref="R8:R9"/>
    <mergeCell ref="S8:S9"/>
    <mergeCell ref="O31:Q31"/>
    <mergeCell ref="T8:T9"/>
    <mergeCell ref="H8:L8"/>
    <mergeCell ref="M8:N8"/>
    <mergeCell ref="O8:P8"/>
  </mergeCells>
  <conditionalFormatting sqref="B10:D17">
    <cfRule type="expression" priority="15" dxfId="2">
      <formula>$O10="TIDAK LOLOS"</formula>
    </cfRule>
    <cfRule type="expression" priority="16" dxfId="1">
      <formula>$N10="PENGGANTI"</formula>
    </cfRule>
    <cfRule type="expression" priority="17" dxfId="0">
      <formula>$N10="LOLOS"</formula>
    </cfRule>
  </conditionalFormatting>
  <conditionalFormatting sqref="D10:D17">
    <cfRule type="duplicateValues" priority="14" dxfId="3"/>
  </conditionalFormatting>
  <conditionalFormatting sqref="E10:E17">
    <cfRule type="expression" priority="11" dxfId="2">
      <formula>$O10="TIDAK LOLOS"</formula>
    </cfRule>
    <cfRule type="expression" priority="12" dxfId="1">
      <formula>$N10="PENGGANTI"</formula>
    </cfRule>
    <cfRule type="expression" priority="13" dxfId="0">
      <formula>$N10="LOLOS"</formula>
    </cfRule>
  </conditionalFormatting>
  <conditionalFormatting sqref="G10:G17">
    <cfRule type="expression" priority="8" dxfId="2">
      <formula>$O10="TIDAK LOLOS"</formula>
    </cfRule>
    <cfRule type="expression" priority="9" dxfId="1">
      <formula>$N10="PENGGANTI"</formula>
    </cfRule>
    <cfRule type="expression" priority="10" dxfId="0">
      <formula>$N10="LOLOS"</formula>
    </cfRule>
  </conditionalFormatting>
  <conditionalFormatting sqref="H10:J17">
    <cfRule type="expression" priority="5" dxfId="2">
      <formula>$O10="TIDAK LOLOS"</formula>
    </cfRule>
    <cfRule type="expression" priority="6" dxfId="1">
      <formula>$N10="PENGGANTI"</formula>
    </cfRule>
    <cfRule type="expression" priority="7" dxfId="0">
      <formula>$N10="LOLOS"</formula>
    </cfRule>
  </conditionalFormatting>
  <conditionalFormatting sqref="J10:J17">
    <cfRule type="duplicateValues" priority="4" dxfId="3"/>
  </conditionalFormatting>
  <conditionalFormatting sqref="K10:K17">
    <cfRule type="expression" priority="1" dxfId="2">
      <formula>$O10="TIDAK LOLOS"</formula>
    </cfRule>
    <cfRule type="expression" priority="2" dxfId="1">
      <formula>$N10="PENGGANTI"</formula>
    </cfRule>
    <cfRule type="expression" priority="3" dxfId="0">
      <formula>$N10="LOLOS"</formula>
    </cfRule>
  </conditionalFormatting>
  <dataValidations count="1">
    <dataValidation sqref="G10:G17" showDropDown="0" showInputMessage="1" showErrorMessage="1" allowBlank="1" type="list">
      <formula1>$L$43:$L$51</formula1>
    </dataValidation>
  </dataValidations>
  <pageMargins left="0.22" right="0.12" top="0.43" bottom="0.748031496062992" header="0.24" footer="0.31496062992126"/>
  <pageSetup orientation="landscape" paperSize="9" scale="43" horizontalDpi="4294967293"/>
  <colBreaks count="1" manualBreakCount="1">
    <brk id="17" min="0" max="28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Adim</dc:creator>
  <dcterms:created xmlns:dcterms="http://purl.org/dc/terms/" xmlns:xsi="http://www.w3.org/2001/XMLSchema-instance" xsi:type="dcterms:W3CDTF">2021-04-17T16:24:41Z</dcterms:created>
  <dcterms:modified xmlns:dcterms="http://purl.org/dc/terms/" xmlns:xsi="http://www.w3.org/2001/XMLSchema-instance" xsi:type="dcterms:W3CDTF">2026-05-12T10:10:50Z</dcterms:modified>
  <cp:lastModifiedBy>Asus</cp:lastModifiedBy>
  <cp:lastPrinted>2026-02-21T07:07:43Z</cp:lastPrinted>
</cp:coreProperties>
</file>